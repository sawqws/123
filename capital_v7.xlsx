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ПИТАЛ" sheetId="1" state="visible" r:id="rId1"/>
    <sheet name="Плавающий капитал" sheetId="2" state="visible" r:id="rId2"/>
    <sheet name="Доходы Расходы" sheetId="3" state="visible" r:id="rId3"/>
    <sheet name="Долг" sheetId="4" state="visible" r:id="rId4"/>
    <sheet name="Авито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\.mm\.yy"/>
    <numFmt numFmtId="165" formatCode="#,##0;[RED]\-#,##0;\–"/>
    <numFmt numFmtId="166" formatCode="\+0.0%;\-0.0%;0.0%"/>
    <numFmt numFmtId="167" formatCode="#,##0.00;\-#,##0.00;\–"/>
    <numFmt numFmtId="168" formatCode="dd.mm.yy hh:mm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7F7F7F"/>
      <sz val="10"/>
    </font>
    <font>
      <name val="Arial"/>
      <charset val="1"/>
      <family val="0"/>
      <i val="1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EBF7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D6E4F0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FFF8E1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DDEBF7"/>
      </patternFill>
    </fill>
    <fill>
      <patternFill patternType="solid">
        <fgColor rgb="FFFFF8E1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general" vertical="bottom"/>
    </xf>
    <xf numFmtId="166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general" vertical="bottom"/>
    </xf>
    <xf numFmtId="166" fontId="7" fillId="8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7" fontId="6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general" vertical="bottom"/>
    </xf>
    <xf numFmtId="166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vertical="center" wrapText="1"/>
    </xf>
    <xf numFmtId="166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vertical="center" wrapText="1"/>
    </xf>
    <xf numFmtId="166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general" vertical="bottom"/>
    </xf>
    <xf numFmtId="0" fontId="6" fillId="10" borderId="1" applyAlignment="1" pivotButton="0" quotePrefix="0" xfId="0">
      <alignment vertical="center" wrapText="1"/>
    </xf>
    <xf numFmtId="166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vertical="center" wrapText="1"/>
    </xf>
    <xf numFmtId="166" fontId="7" fillId="8" borderId="1" applyAlignment="1" pivotButton="0" quotePrefix="0" xfId="0">
      <alignment horizontal="center" vertical="center"/>
    </xf>
    <xf numFmtId="168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7" fontId="6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general" vertical="bottom"/>
    </xf>
    <xf numFmtId="0" fontId="7" fillId="9" borderId="1" applyAlignment="1" pivotButton="0" quotePrefix="0" xfId="0">
      <alignment vertical="center" wrapText="1"/>
    </xf>
    <xf numFmtId="166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00A651"/>
      </font>
    </dxf>
    <dxf>
      <font>
        <b val="1"/>
        <color rgb="FFE539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E53935"/>
      <rgbColor rgb="FFFFF8E1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00A651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M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30" customWidth="1" style="32" min="2" max="2"/>
    <col width="15" customWidth="1" style="32" min="3" max="3"/>
    <col width="14" customWidth="1" style="32" min="4" max="4"/>
    <col width="26" customWidth="1" style="32" min="5" max="5"/>
    <col width="9" customWidth="1" style="32" min="6" max="6"/>
    <col width="15" customWidth="1" style="32" min="7" max="7"/>
    <col width="14" customWidth="1" style="32" min="8" max="8"/>
    <col width="26" customWidth="1" style="32" min="9" max="9"/>
    <col width="9" customWidth="1" style="32" min="10" max="10"/>
    <col width="15" customWidth="1" style="33" min="11" max="11"/>
    <col width="14" customWidth="1" style="33" min="12" max="12"/>
    <col width="26" customWidth="1" style="33" min="13" max="13"/>
  </cols>
  <sheetData>
    <row r="1" ht="24" customHeight="1" s="33">
      <c r="A1" s="34" t="inlineStr">
        <is>
          <t>№</t>
        </is>
      </c>
      <c r="B1" s="34" t="inlineStr">
        <is>
          <t>КАПИТАЛ</t>
        </is>
      </c>
      <c r="C1" s="34" t="n">
        <v>46296</v>
      </c>
      <c r="D1" s="35" t="n"/>
      <c r="E1" s="36" t="n"/>
      <c r="F1" s="34" t="inlineStr">
        <is>
          <t>± %</t>
        </is>
      </c>
      <c r="G1" s="34" t="n">
        <v>46327</v>
      </c>
      <c r="H1" s="35" t="n"/>
      <c r="I1" s="36" t="n"/>
      <c r="J1" s="34" t="inlineStr">
        <is>
          <t>± %</t>
        </is>
      </c>
      <c r="K1" s="34" t="n">
        <v>46357</v>
      </c>
      <c r="L1" s="35" t="n"/>
      <c r="M1" s="36" t="n"/>
    </row>
    <row r="2" ht="25.5" customHeight="1" s="33">
      <c r="A2" s="37" t="n"/>
      <c r="B2" s="37" t="n"/>
      <c r="C2" s="38" t="inlineStr">
        <is>
          <t>Кол-во / заметка</t>
        </is>
      </c>
      <c r="D2" s="38" t="inlineStr">
        <is>
          <t>Сумма, ₽</t>
        </is>
      </c>
      <c r="E2" s="38" t="inlineStr">
        <is>
          <t>Комментарий</t>
        </is>
      </c>
      <c r="F2" s="37" t="n"/>
      <c r="G2" s="38" t="inlineStr">
        <is>
          <t>Кол-во / заметка</t>
        </is>
      </c>
      <c r="H2" s="38" t="inlineStr">
        <is>
          <t>Сумма, ₽</t>
        </is>
      </c>
      <c r="I2" s="38" t="inlineStr">
        <is>
          <t>Комментарий</t>
        </is>
      </c>
      <c r="J2" s="37" t="n"/>
      <c r="K2" s="38" t="inlineStr">
        <is>
          <t>Кол-во / заметка</t>
        </is>
      </c>
      <c r="L2" s="38" t="inlineStr">
        <is>
          <t>Сумма, ₽</t>
        </is>
      </c>
      <c r="M2" s="38" t="inlineStr">
        <is>
          <t>Комментарий</t>
        </is>
      </c>
    </row>
    <row r="3" ht="15" customHeight="1" s="33">
      <c r="A3" s="39" t="n"/>
      <c r="B3" s="40" t="inlineStr">
        <is>
          <t>ЛИЧНЫЕ (всего)</t>
        </is>
      </c>
      <c r="C3" s="39" t="n"/>
      <c r="D3" s="41">
        <f>D4+D16+D30</f>
        <v/>
      </c>
      <c r="E3" s="42" t="n"/>
      <c r="F3" s="43">
        <f>IF(OR(N(D3)=0,N(H3)=0),"",(H3-D3)/ABS(D3))</f>
        <v/>
      </c>
      <c r="G3" s="39" t="n"/>
      <c r="H3" s="41">
        <f>H4+H16+H30</f>
        <v/>
      </c>
      <c r="I3" s="42" t="n"/>
      <c r="J3" s="43">
        <f>IF(OR(N(H3)=0,N(L3)=0),"",(L3-H3)/ABS(H3))</f>
        <v/>
      </c>
      <c r="K3" s="39" t="n"/>
      <c r="L3" s="41">
        <f>L4+L16+L30</f>
        <v/>
      </c>
      <c r="M3" s="42" t="n"/>
    </row>
    <row r="4" ht="15" customHeight="1" s="33">
      <c r="A4" s="44" t="n"/>
      <c r="B4" s="45" t="inlineStr">
        <is>
          <t>Активы</t>
        </is>
      </c>
      <c r="C4" s="44" t="n"/>
      <c r="D4" s="46">
        <f>SUM(D5:D15)</f>
        <v/>
      </c>
      <c r="E4" s="47" t="n"/>
      <c r="F4" s="48">
        <f>IF(OR(N(D4)=0,N(H4)=0),"",(H4-D4)/ABS(D4))</f>
        <v/>
      </c>
      <c r="G4" s="44" t="n"/>
      <c r="H4" s="46">
        <f>SUM(H5:H15)</f>
        <v/>
      </c>
      <c r="I4" s="47" t="n"/>
      <c r="J4" s="48">
        <f>IF(OR(N(H4)=0,N(L4)=0),"",(L4-H4)/ABS(H4))</f>
        <v/>
      </c>
      <c r="K4" s="44" t="n"/>
      <c r="L4" s="46">
        <f>SUM(L5:L15)</f>
        <v/>
      </c>
      <c r="M4" s="47" t="n"/>
    </row>
    <row r="5" ht="15" customHeight="1" s="33">
      <c r="A5" s="49" t="n">
        <v>1</v>
      </c>
      <c r="B5" s="50" t="inlineStr">
        <is>
          <t>Альфа накопительный</t>
        </is>
      </c>
      <c r="C5" s="51" t="n"/>
      <c r="D5" s="52" t="n"/>
      <c r="E5" s="53" t="n"/>
      <c r="F5" s="54">
        <f>IF(OR(N(D5)=0,N(H5)=0),"",(H5-D5)/ABS(D5))</f>
        <v/>
      </c>
      <c r="G5" s="51" t="n"/>
      <c r="H5" s="52" t="n"/>
      <c r="I5" s="53" t="n"/>
      <c r="J5" s="54">
        <f>IF(OR(N(H5)=0,N(L5)=0),"",(L5-H5)/ABS(H5))</f>
        <v/>
      </c>
      <c r="K5" s="51" t="n"/>
      <c r="L5" s="52" t="n"/>
      <c r="M5" s="53" t="n"/>
    </row>
    <row r="6" ht="15" customHeight="1" s="33">
      <c r="A6" s="49" t="n">
        <v>2</v>
      </c>
      <c r="B6" s="50" t="inlineStr">
        <is>
          <t>Альфа инвестиции</t>
        </is>
      </c>
      <c r="C6" s="51" t="n"/>
      <c r="D6" s="52" t="n"/>
      <c r="E6" s="53" t="n"/>
      <c r="F6" s="54">
        <f>IF(OR(N(D6)=0,N(H6)=0),"",(H6-D6)/ABS(D6))</f>
        <v/>
      </c>
      <c r="G6" s="51" t="n"/>
      <c r="H6" s="52" t="n"/>
      <c r="I6" s="53" t="n"/>
      <c r="J6" s="54">
        <f>IF(OR(N(H6)=0,N(L6)=0),"",(L6-H6)/ABS(H6))</f>
        <v/>
      </c>
      <c r="K6" s="51" t="n"/>
      <c r="L6" s="52" t="n"/>
      <c r="M6" s="53" t="n"/>
    </row>
    <row r="7" ht="15" customHeight="1" s="33">
      <c r="A7" s="49" t="n">
        <v>3</v>
      </c>
      <c r="B7" s="50" t="inlineStr">
        <is>
          <t>Райф инвестиции</t>
        </is>
      </c>
      <c r="C7" s="51" t="n"/>
      <c r="D7" s="52" t="n"/>
      <c r="E7" s="53" t="n"/>
      <c r="F7" s="54">
        <f>IF(OR(N(D7)=0,N(H7)=0),"",(H7-D7)/ABS(D7))</f>
        <v/>
      </c>
      <c r="G7" s="51" t="n"/>
      <c r="H7" s="52" t="n"/>
      <c r="I7" s="53" t="n"/>
      <c r="J7" s="54">
        <f>IF(OR(N(H7)=0,N(L7)=0),"",(L7-H7)/ABS(H7))</f>
        <v/>
      </c>
      <c r="K7" s="51" t="n"/>
      <c r="L7" s="52" t="n"/>
      <c r="M7" s="53" t="n"/>
    </row>
    <row r="8" ht="15" customHeight="1" s="33">
      <c r="A8" s="49" t="n">
        <v>4</v>
      </c>
      <c r="B8" s="50" t="inlineStr">
        <is>
          <t>Тинькофф инвестиции</t>
        </is>
      </c>
      <c r="C8" s="51" t="n"/>
      <c r="D8" s="52" t="n"/>
      <c r="E8" s="53" t="n"/>
      <c r="F8" s="54">
        <f>IF(OR(N(D8)=0,N(H8)=0),"",(H8-D8)/ABS(D8))</f>
        <v/>
      </c>
      <c r="G8" s="51" t="n"/>
      <c r="H8" s="52" t="n"/>
      <c r="I8" s="53" t="n"/>
      <c r="J8" s="54">
        <f>IF(OR(N(H8)=0,N(L8)=0),"",(L8-H8)/ABS(H8))</f>
        <v/>
      </c>
      <c r="K8" s="51" t="n"/>
      <c r="L8" s="52" t="n"/>
      <c r="M8" s="53" t="n"/>
    </row>
    <row r="9" ht="15" customHeight="1" s="33">
      <c r="A9" s="49" t="n">
        <v>5</v>
      </c>
      <c r="B9" s="55" t="n"/>
      <c r="C9" s="51" t="n"/>
      <c r="D9" s="52" t="n"/>
      <c r="E9" s="53" t="n"/>
      <c r="F9" s="54">
        <f>IF(OR(N(D9)=0,N(H9)=0),"",(H9-D9)/ABS(D9))</f>
        <v/>
      </c>
      <c r="G9" s="51" t="n"/>
      <c r="H9" s="52" t="n"/>
      <c r="I9" s="53" t="n"/>
      <c r="J9" s="54">
        <f>IF(OR(N(H9)=0,N(L9)=0),"",(L9-H9)/ABS(H9))</f>
        <v/>
      </c>
      <c r="K9" s="51" t="n"/>
      <c r="L9" s="52" t="n"/>
      <c r="M9" s="53" t="n"/>
    </row>
    <row r="10" ht="15" customHeight="1" s="33">
      <c r="A10" s="49" t="n">
        <v>6</v>
      </c>
      <c r="B10" s="55" t="n"/>
      <c r="C10" s="51" t="n"/>
      <c r="D10" s="52" t="n"/>
      <c r="E10" s="53" t="n"/>
      <c r="F10" s="54">
        <f>IF(OR(N(D10)=0,N(H10)=0),"",(H10-D10)/ABS(D10))</f>
        <v/>
      </c>
      <c r="G10" s="51" t="n"/>
      <c r="H10" s="52" t="n"/>
      <c r="I10" s="53" t="n"/>
      <c r="J10" s="54">
        <f>IF(OR(N(H10)=0,N(L10)=0),"",(L10-H10)/ABS(H10))</f>
        <v/>
      </c>
      <c r="K10" s="51" t="n"/>
      <c r="L10" s="52" t="n"/>
      <c r="M10" s="53" t="n"/>
    </row>
    <row r="11" ht="15" customHeight="1" s="33">
      <c r="A11" s="49" t="n">
        <v>7</v>
      </c>
      <c r="B11" s="55" t="n"/>
      <c r="C11" s="51" t="n"/>
      <c r="D11" s="52" t="n"/>
      <c r="E11" s="53" t="n"/>
      <c r="F11" s="54">
        <f>IF(OR(N(D11)=0,N(H11)=0),"",(H11-D11)/ABS(D11))</f>
        <v/>
      </c>
      <c r="G11" s="51" t="n"/>
      <c r="H11" s="52" t="n"/>
      <c r="I11" s="53" t="n"/>
      <c r="J11" s="54">
        <f>IF(OR(N(H11)=0,N(L11)=0),"",(L11-H11)/ABS(H11))</f>
        <v/>
      </c>
      <c r="K11" s="51" t="n"/>
      <c r="L11" s="52" t="n"/>
      <c r="M11" s="53" t="n"/>
    </row>
    <row r="12" ht="15" customHeight="1" s="33">
      <c r="A12" s="49" t="n">
        <v>8</v>
      </c>
      <c r="B12" s="55" t="n"/>
      <c r="C12" s="51" t="n"/>
      <c r="D12" s="52" t="n"/>
      <c r="E12" s="53" t="n"/>
      <c r="F12" s="54">
        <f>IF(OR(N(D12)=0,N(H12)=0),"",(H12-D12)/ABS(D12))</f>
        <v/>
      </c>
      <c r="G12" s="51" t="n"/>
      <c r="H12" s="52" t="n"/>
      <c r="I12" s="53" t="n"/>
      <c r="J12" s="54">
        <f>IF(OR(N(H12)=0,N(L12)=0),"",(L12-H12)/ABS(H12))</f>
        <v/>
      </c>
      <c r="K12" s="51" t="n"/>
      <c r="L12" s="52" t="n"/>
      <c r="M12" s="53" t="n"/>
    </row>
    <row r="13" ht="15" customHeight="1" s="33">
      <c r="A13" s="49" t="n">
        <v>9</v>
      </c>
      <c r="B13" s="55" t="n"/>
      <c r="C13" s="51" t="n"/>
      <c r="D13" s="52" t="n"/>
      <c r="E13" s="53" t="n"/>
      <c r="F13" s="54">
        <f>IF(OR(N(D13)=0,N(H13)=0),"",(H13-D13)/ABS(D13))</f>
        <v/>
      </c>
      <c r="G13" s="51" t="n"/>
      <c r="H13" s="52" t="n"/>
      <c r="I13" s="53" t="n"/>
      <c r="J13" s="54">
        <f>IF(OR(N(H13)=0,N(L13)=0),"",(L13-H13)/ABS(H13))</f>
        <v/>
      </c>
      <c r="K13" s="51" t="n"/>
      <c r="L13" s="52" t="n"/>
      <c r="M13" s="53" t="n"/>
    </row>
    <row r="14" ht="15" customHeight="1" s="33">
      <c r="A14" s="49" t="n">
        <v>10</v>
      </c>
      <c r="B14" s="55" t="n"/>
      <c r="C14" s="51" t="n"/>
      <c r="D14" s="52" t="n"/>
      <c r="E14" s="53" t="n"/>
      <c r="F14" s="54">
        <f>IF(OR(N(D14)=0,N(H14)=0),"",(H14-D14)/ABS(D14))</f>
        <v/>
      </c>
      <c r="G14" s="51" t="n"/>
      <c r="H14" s="52" t="n"/>
      <c r="I14" s="53" t="n"/>
      <c r="J14" s="54">
        <f>IF(OR(N(H14)=0,N(L14)=0),"",(L14-H14)/ABS(H14))</f>
        <v/>
      </c>
      <c r="K14" s="51" t="n"/>
      <c r="L14" s="52" t="n"/>
      <c r="M14" s="53" t="n"/>
    </row>
    <row r="15" ht="15" customHeight="1" s="33">
      <c r="A15" s="49" t="n">
        <v>11</v>
      </c>
      <c r="B15" s="55" t="n"/>
      <c r="C15" s="51" t="n"/>
      <c r="D15" s="52" t="n"/>
      <c r="E15" s="53" t="n"/>
      <c r="F15" s="54">
        <f>IF(OR(N(D15)=0,N(H15)=0),"",(H15-D15)/ABS(D15))</f>
        <v/>
      </c>
      <c r="G15" s="51" t="n"/>
      <c r="H15" s="52" t="n"/>
      <c r="I15" s="53" t="n"/>
      <c r="J15" s="54">
        <f>IF(OR(N(H15)=0,N(L15)=0),"",(L15-H15)/ABS(H15))</f>
        <v/>
      </c>
      <c r="K15" s="51" t="n"/>
      <c r="L15" s="52" t="n"/>
      <c r="M15" s="53" t="n"/>
    </row>
    <row r="16" ht="15" customHeight="1" s="33">
      <c r="A16" s="44" t="n"/>
      <c r="B16" s="45" t="inlineStr">
        <is>
          <t>Пассивы</t>
        </is>
      </c>
      <c r="C16" s="44" t="n"/>
      <c r="D16" s="46">
        <f>SUM(D17:D29)</f>
        <v/>
      </c>
      <c r="E16" s="47" t="n"/>
      <c r="F16" s="48">
        <f>IF(OR(N(D16)=0,N(H16)=0),"",(H16-D16)/ABS(D16))</f>
        <v/>
      </c>
      <c r="G16" s="44" t="n"/>
      <c r="H16" s="46">
        <f>SUM(H17:H29)</f>
        <v/>
      </c>
      <c r="I16" s="47" t="n"/>
      <c r="J16" s="48">
        <f>IF(OR(N(H16)=0,N(L16)=0),"",(L16-H16)/ABS(H16))</f>
        <v/>
      </c>
      <c r="K16" s="44" t="n"/>
      <c r="L16" s="46">
        <f>SUM(L17:L29)</f>
        <v/>
      </c>
      <c r="M16" s="47" t="n"/>
    </row>
    <row r="17" ht="15" customHeight="1" s="33">
      <c r="A17" s="49" t="n">
        <v>1</v>
      </c>
      <c r="B17" s="50" t="inlineStr">
        <is>
          <t>Альфа карта</t>
        </is>
      </c>
      <c r="C17" s="51" t="n"/>
      <c r="D17" s="52" t="n"/>
      <c r="E17" s="53" t="n"/>
      <c r="F17" s="54">
        <f>IF(OR(N(D17)=0,N(H17)=0),"",(H17-D17)/ABS(D17))</f>
        <v/>
      </c>
      <c r="G17" s="51" t="n"/>
      <c r="H17" s="52" t="n"/>
      <c r="I17" s="53" t="n"/>
      <c r="J17" s="54">
        <f>IF(OR(N(H17)=0,N(L17)=0),"",(L17-H17)/ABS(H17))</f>
        <v/>
      </c>
      <c r="K17" s="51" t="n"/>
      <c r="L17" s="52" t="n"/>
      <c r="M17" s="53" t="n"/>
    </row>
    <row r="18" ht="15" customHeight="1" s="33">
      <c r="A18" s="49" t="n">
        <v>2</v>
      </c>
      <c r="B18" s="50" t="inlineStr">
        <is>
          <t>Доллары</t>
        </is>
      </c>
      <c r="C18" s="51" t="n"/>
      <c r="D18" s="56">
        <f>C18*C33</f>
        <v/>
      </c>
      <c r="E18" s="53" t="n"/>
      <c r="F18" s="54">
        <f>IF(OR(N(D18)=0,N(H18)=0),"",(H18-D18)/ABS(D18))</f>
        <v/>
      </c>
      <c r="G18" s="51" t="n"/>
      <c r="H18" s="56">
        <f>G18*G33</f>
        <v/>
      </c>
      <c r="I18" s="53" t="n"/>
      <c r="J18" s="54">
        <f>IF(OR(N(H18)=0,N(L18)=0),"",(L18-H18)/ABS(H18))</f>
        <v/>
      </c>
      <c r="K18" s="51" t="n"/>
      <c r="L18" s="56">
        <f>K18*K33</f>
        <v/>
      </c>
      <c r="M18" s="53" t="n"/>
    </row>
    <row r="19" ht="15" customHeight="1" s="33">
      <c r="A19" s="49" t="n">
        <v>3</v>
      </c>
      <c r="B19" s="50" t="inlineStr">
        <is>
          <t>Евро</t>
        </is>
      </c>
      <c r="C19" s="51" t="n"/>
      <c r="D19" s="56">
        <f>C19*C34</f>
        <v/>
      </c>
      <c r="E19" s="53" t="n"/>
      <c r="F19" s="54">
        <f>IF(OR(N(D19)=0,N(H19)=0),"",(H19-D19)/ABS(D19))</f>
        <v/>
      </c>
      <c r="G19" s="51" t="n"/>
      <c r="H19" s="56">
        <f>G19*G34</f>
        <v/>
      </c>
      <c r="I19" s="53" t="n"/>
      <c r="J19" s="54">
        <f>IF(OR(N(H19)=0,N(L19)=0),"",(L19-H19)/ABS(H19))</f>
        <v/>
      </c>
      <c r="K19" s="51" t="n"/>
      <c r="L19" s="56">
        <f>K19*K34</f>
        <v/>
      </c>
      <c r="M19" s="53" t="n"/>
    </row>
    <row r="20" ht="15" customHeight="1" s="33">
      <c r="A20" s="49" t="n">
        <v>4</v>
      </c>
      <c r="B20" s="50" t="inlineStr">
        <is>
          <t>Товар whoop</t>
        </is>
      </c>
      <c r="C20" s="51" t="n"/>
      <c r="D20" s="52" t="n"/>
      <c r="E20" s="53" t="n"/>
      <c r="F20" s="54">
        <f>IF(OR(N(D20)=0,N(H20)=0),"",(H20-D20)/ABS(D20))</f>
        <v/>
      </c>
      <c r="G20" s="51" t="n"/>
      <c r="H20" s="52" t="n"/>
      <c r="I20" s="53" t="n"/>
      <c r="J20" s="54">
        <f>IF(OR(N(H20)=0,N(L20)=0),"",(L20-H20)/ABS(H20))</f>
        <v/>
      </c>
      <c r="K20" s="51" t="n"/>
      <c r="L20" s="52" t="n"/>
      <c r="M20" s="53" t="n"/>
    </row>
    <row r="21" ht="15" customHeight="1" s="33">
      <c r="A21" s="49" t="n">
        <v>5</v>
      </c>
      <c r="B21" s="50" t="inlineStr">
        <is>
          <t>ВТС</t>
        </is>
      </c>
      <c r="C21" s="51" t="n"/>
      <c r="D21" s="56">
        <f>C21*C36</f>
        <v/>
      </c>
      <c r="E21" s="53" t="n"/>
      <c r="F21" s="54">
        <f>IF(OR(N(D21)=0,N(H21)=0),"",(H21-D21)/ABS(D21))</f>
        <v/>
      </c>
      <c r="G21" s="51" t="n"/>
      <c r="H21" s="56">
        <f>G21*G36</f>
        <v/>
      </c>
      <c r="I21" s="53" t="n"/>
      <c r="J21" s="54">
        <f>IF(OR(N(H21)=0,N(L21)=0),"",(L21-H21)/ABS(H21))</f>
        <v/>
      </c>
      <c r="K21" s="51" t="n"/>
      <c r="L21" s="56">
        <f>K21*K36</f>
        <v/>
      </c>
      <c r="M21" s="53" t="n"/>
    </row>
    <row r="22" ht="15" customHeight="1" s="33">
      <c r="A22" s="49" t="n">
        <v>6</v>
      </c>
      <c r="B22" s="50" t="inlineStr">
        <is>
          <t>Продать на Авито</t>
        </is>
      </c>
      <c r="C22" s="51" t="n"/>
      <c r="D22" s="56">
        <f>Авито!C2</f>
        <v/>
      </c>
      <c r="E22" s="53" t="n"/>
      <c r="F22" s="54">
        <f>IF(OR(N(D22)=0,N(H22)=0),"",(H22-D22)/ABS(D22))</f>
        <v/>
      </c>
      <c r="G22" s="51" t="n"/>
      <c r="H22" s="56">
        <f>Авито!F2</f>
        <v/>
      </c>
      <c r="I22" s="53" t="n"/>
      <c r="J22" s="54">
        <f>IF(OR(N(H22)=0,N(L22)=0),"",(L22-H22)/ABS(H22))</f>
        <v/>
      </c>
      <c r="K22" s="51" t="n"/>
      <c r="L22" s="56">
        <f>Авито!I2</f>
        <v/>
      </c>
      <c r="M22" s="53" t="n"/>
    </row>
    <row r="23" ht="15" customHeight="1" s="33">
      <c r="A23" s="49" t="n">
        <v>7</v>
      </c>
      <c r="B23" s="55" t="n"/>
      <c r="C23" s="51" t="n"/>
      <c r="D23" s="52" t="n"/>
      <c r="E23" s="53" t="n"/>
      <c r="F23" s="54">
        <f>IF(OR(N(D23)=0,N(H23)=0),"",(H23-D23)/ABS(D23))</f>
        <v/>
      </c>
      <c r="G23" s="51" t="n"/>
      <c r="H23" s="52" t="n"/>
      <c r="I23" s="53" t="n"/>
      <c r="J23" s="54">
        <f>IF(OR(N(H23)=0,N(L23)=0),"",(L23-H23)/ABS(H23))</f>
        <v/>
      </c>
      <c r="K23" s="51" t="n"/>
      <c r="L23" s="52" t="n"/>
      <c r="M23" s="53" t="n"/>
    </row>
    <row r="24" ht="15" customHeight="1" s="33">
      <c r="A24" s="49" t="n">
        <v>8</v>
      </c>
      <c r="B24" s="55" t="n"/>
      <c r="C24" s="51" t="n"/>
      <c r="D24" s="52" t="n"/>
      <c r="E24" s="53" t="n"/>
      <c r="F24" s="54">
        <f>IF(OR(N(D24)=0,N(H24)=0),"",(H24-D24)/ABS(D24))</f>
        <v/>
      </c>
      <c r="G24" s="51" t="n"/>
      <c r="H24" s="52" t="n"/>
      <c r="I24" s="53" t="n"/>
      <c r="J24" s="54">
        <f>IF(OR(N(H24)=0,N(L24)=0),"",(L24-H24)/ABS(H24))</f>
        <v/>
      </c>
      <c r="K24" s="51" t="n"/>
      <c r="L24" s="52" t="n"/>
      <c r="M24" s="53" t="n"/>
    </row>
    <row r="25" ht="15" customHeight="1" s="33">
      <c r="A25" s="49" t="n">
        <v>9</v>
      </c>
      <c r="B25" s="55" t="n"/>
      <c r="C25" s="51" t="n"/>
      <c r="D25" s="52" t="n"/>
      <c r="E25" s="53" t="n"/>
      <c r="F25" s="54">
        <f>IF(OR(N(D25)=0,N(H25)=0),"",(H25-D25)/ABS(D25))</f>
        <v/>
      </c>
      <c r="G25" s="51" t="n"/>
      <c r="H25" s="52" t="n"/>
      <c r="I25" s="53" t="n"/>
      <c r="J25" s="54">
        <f>IF(OR(N(H25)=0,N(L25)=0),"",(L25-H25)/ABS(H25))</f>
        <v/>
      </c>
      <c r="K25" s="51" t="n"/>
      <c r="L25" s="52" t="n"/>
      <c r="M25" s="53" t="n"/>
    </row>
    <row r="26" ht="15" customHeight="1" s="33">
      <c r="A26" s="49" t="n">
        <v>10</v>
      </c>
      <c r="B26" s="55" t="n"/>
      <c r="C26" s="51" t="n"/>
      <c r="D26" s="52" t="n"/>
      <c r="E26" s="53" t="n"/>
      <c r="F26" s="54">
        <f>IF(OR(N(D26)=0,N(H26)=0),"",(H26-D26)/ABS(D26))</f>
        <v/>
      </c>
      <c r="G26" s="51" t="n"/>
      <c r="H26" s="52" t="n"/>
      <c r="I26" s="53" t="n"/>
      <c r="J26" s="54">
        <f>IF(OR(N(H26)=0,N(L26)=0),"",(L26-H26)/ABS(H26))</f>
        <v/>
      </c>
      <c r="K26" s="51" t="n"/>
      <c r="L26" s="52" t="n"/>
      <c r="M26" s="53" t="n"/>
    </row>
    <row r="27" ht="15" customHeight="1" s="33">
      <c r="A27" s="49" t="n">
        <v>11</v>
      </c>
      <c r="B27" s="55" t="n"/>
      <c r="C27" s="51" t="n"/>
      <c r="D27" s="52" t="n"/>
      <c r="E27" s="53" t="n"/>
      <c r="F27" s="54">
        <f>IF(OR(N(D27)=0,N(H27)=0),"",(H27-D27)/ABS(D27))</f>
        <v/>
      </c>
      <c r="G27" s="51" t="n"/>
      <c r="H27" s="52" t="n"/>
      <c r="I27" s="53" t="n"/>
      <c r="J27" s="54">
        <f>IF(OR(N(H27)=0,N(L27)=0),"",(L27-H27)/ABS(H27))</f>
        <v/>
      </c>
      <c r="K27" s="51" t="n"/>
      <c r="L27" s="52" t="n"/>
      <c r="M27" s="53" t="n"/>
    </row>
    <row r="28" ht="15" customHeight="1" s="33">
      <c r="A28" s="49" t="n">
        <v>12</v>
      </c>
      <c r="B28" s="55" t="n"/>
      <c r="C28" s="51" t="n"/>
      <c r="D28" s="52" t="n"/>
      <c r="E28" s="53" t="n"/>
      <c r="F28" s="54">
        <f>IF(OR(N(D28)=0,N(H28)=0),"",(H28-D28)/ABS(D28))</f>
        <v/>
      </c>
      <c r="G28" s="51" t="n"/>
      <c r="H28" s="52" t="n"/>
      <c r="I28" s="53" t="n"/>
      <c r="J28" s="54">
        <f>IF(OR(N(H28)=0,N(L28)=0),"",(L28-H28)/ABS(H28))</f>
        <v/>
      </c>
      <c r="K28" s="51" t="n"/>
      <c r="L28" s="52" t="n"/>
      <c r="M28" s="53" t="n"/>
    </row>
    <row r="29" ht="15" customHeight="1" s="33">
      <c r="A29" s="49" t="n">
        <v>13</v>
      </c>
      <c r="B29" s="55" t="n"/>
      <c r="C29" s="51" t="n"/>
      <c r="D29" s="52" t="n"/>
      <c r="E29" s="53" t="n"/>
      <c r="F29" s="54">
        <f>IF(OR(N(D29)=0,N(H29)=0),"",(H29-D29)/ABS(D29))</f>
        <v/>
      </c>
      <c r="G29" s="51" t="n"/>
      <c r="H29" s="52" t="n"/>
      <c r="I29" s="53" t="n"/>
      <c r="J29" s="54">
        <f>IF(OR(N(H29)=0,N(L29)=0),"",(L29-H29)/ABS(H29))</f>
        <v/>
      </c>
      <c r="K29" s="51" t="n"/>
      <c r="L29" s="52" t="n"/>
      <c r="M29" s="53" t="n"/>
    </row>
    <row r="30" ht="15" customHeight="1" s="33">
      <c r="A30" s="57" t="n"/>
      <c r="B30" s="58" t="inlineStr">
        <is>
          <t>Плавающий капитал (с листа)</t>
        </is>
      </c>
      <c r="C30" s="57" t="n"/>
      <c r="D30" s="59">
        <f>'Плавающий капитал'!D3</f>
        <v/>
      </c>
      <c r="E30" s="60" t="n"/>
      <c r="F30" s="61">
        <f>IF(OR(N(D30)=0,N(H30)=0),"",(H30-D30)/ABS(D30))</f>
        <v/>
      </c>
      <c r="G30" s="57" t="n"/>
      <c r="H30" s="59">
        <f>'Плавающий капитал'!H3</f>
        <v/>
      </c>
      <c r="I30" s="60" t="n"/>
      <c r="J30" s="61">
        <f>IF(OR(N(H30)=0,N(L30)=0),"",(L30-H30)/ABS(H30))</f>
        <v/>
      </c>
      <c r="K30" s="57" t="n"/>
      <c r="L30" s="59">
        <f>'Плавающий капитал'!L3</f>
        <v/>
      </c>
      <c r="M30" s="60" t="n"/>
    </row>
    <row r="31"/>
    <row r="32" ht="15" customHeight="1" s="33">
      <c r="A32" s="44" t="n"/>
      <c r="B32" s="45" t="inlineStr">
        <is>
          <t>Курсы на 29-е число, 10:00, ₽</t>
        </is>
      </c>
      <c r="C32" s="62">
        <f>DATE(YEAR(C$1),MONTH(C$1),MIN(29,DAY(EOMONTH(C$1,0))))+TIME(10,0,0)</f>
        <v/>
      </c>
      <c r="D32" s="36" t="n"/>
      <c r="F32" s="63" t="inlineStr">
        <is>
          <t>± %</t>
        </is>
      </c>
      <c r="G32" s="62">
        <f>DATE(YEAR(G$1),MONTH(G$1),MIN(29,DAY(EOMONTH(G$1,0))))+TIME(10,0,0)</f>
        <v/>
      </c>
      <c r="H32" s="36" t="n"/>
      <c r="J32" s="63" t="inlineStr">
        <is>
          <t>± %</t>
        </is>
      </c>
      <c r="K32" s="62">
        <f>DATE(YEAR(K$1),MONTH(K$1),MIN(29,DAY(EOMONTH(K$1,0))))+TIME(10,0,0)</f>
        <v/>
      </c>
      <c r="L32" s="36" t="n"/>
    </row>
    <row r="33" ht="15" customHeight="1" s="33">
      <c r="A33" s="64" t="n"/>
      <c r="B33" s="50" t="inlineStr">
        <is>
          <t>Доллар</t>
        </is>
      </c>
      <c r="C33" s="65">
        <f>IF(OR(C$32="",NOW()&lt;C$32),"",IFERROR(IMPORTXML("https://www.cbr.ru/scripts/XML_daily.asp?date_req="&amp;TEXT(C$32,"dd/mm/yyyy"),"translate(//Valute[CharCode='USD']/Value,',','')")/10000/IMPORTXML("https://www.cbr.ru/scripts/XML_daily.asp?date_req="&amp;TEXT(C$32,"dd/mm/yyyy"),"//Valute[CharCode='USD']/Nominal"),""))</f>
        <v/>
      </c>
      <c r="D33" s="36" t="n"/>
      <c r="F33" s="54">
        <f>IF(OR(N(C33)=0,N(G33)=0),"",(G33-C33)/ABS(C33))</f>
        <v/>
      </c>
      <c r="G33" s="65">
        <f>IF(OR(G$32="",NOW()&lt;G$32),"",IFERROR(IMPORTXML("https://www.cbr.ru/scripts/XML_daily.asp?date_req="&amp;TEXT(G$32,"dd/mm/yyyy"),"translate(//Valute[CharCode='USD']/Value,',','')")/10000/IMPORTXML("https://www.cbr.ru/scripts/XML_daily.asp?date_req="&amp;TEXT(G$32,"dd/mm/yyyy"),"//Valute[CharCode='USD']/Nominal"),""))</f>
        <v/>
      </c>
      <c r="H33" s="36" t="n"/>
      <c r="J33" s="54">
        <f>IF(OR(N(G33)=0,N(K33)=0),"",(K33-G33)/ABS(G33))</f>
        <v/>
      </c>
      <c r="K33" s="65">
        <f>IF(OR(K$32="",NOW()&lt;K$32),"",IFERROR(IMPORTXML("https://www.cbr.ru/scripts/XML_daily.asp?date_req="&amp;TEXT(K$32,"dd/mm/yyyy"),"translate(//Valute[CharCode='USD']/Value,',','')")/10000/IMPORTXML("https://www.cbr.ru/scripts/XML_daily.asp?date_req="&amp;TEXT(K$32,"dd/mm/yyyy"),"//Valute[CharCode='USD']/Nominal"),""))</f>
        <v/>
      </c>
      <c r="L33" s="36" t="n"/>
    </row>
    <row r="34" ht="15" customHeight="1" s="33">
      <c r="A34" s="64" t="n"/>
      <c r="B34" s="50" t="inlineStr">
        <is>
          <t>Евро</t>
        </is>
      </c>
      <c r="C34" s="65">
        <f>IF(OR(C$32="",NOW()&lt;C$32),"",IFERROR(IMPORTXML("https://www.cbr.ru/scripts/XML_daily.asp?date_req="&amp;TEXT(C$32,"dd/mm/yyyy"),"translate(//Valute[CharCode='EUR']/Value,',','')")/10000/IMPORTXML("https://www.cbr.ru/scripts/XML_daily.asp?date_req="&amp;TEXT(C$32,"dd/mm/yyyy"),"//Valute[CharCode='EUR']/Nominal"),""))</f>
        <v/>
      </c>
      <c r="D34" s="36" t="n"/>
      <c r="F34" s="54">
        <f>IF(OR(N(C34)=0,N(G34)=0),"",(G34-C34)/ABS(C34))</f>
        <v/>
      </c>
      <c r="G34" s="65">
        <f>IF(OR(G$32="",NOW()&lt;G$32),"",IFERROR(IMPORTXML("https://www.cbr.ru/scripts/XML_daily.asp?date_req="&amp;TEXT(G$32,"dd/mm/yyyy"),"translate(//Valute[CharCode='EUR']/Value,',','')")/10000/IMPORTXML("https://www.cbr.ru/scripts/XML_daily.asp?date_req="&amp;TEXT(G$32,"dd/mm/yyyy"),"//Valute[CharCode='EUR']/Nominal"),""))</f>
        <v/>
      </c>
      <c r="H34" s="36" t="n"/>
      <c r="J34" s="54">
        <f>IF(OR(N(G34)=0,N(K34)=0),"",(K34-G34)/ABS(G34))</f>
        <v/>
      </c>
      <c r="K34" s="65">
        <f>IF(OR(K$32="",NOW()&lt;K$32),"",IFERROR(IMPORTXML("https://www.cbr.ru/scripts/XML_daily.asp?date_req="&amp;TEXT(K$32,"dd/mm/yyyy"),"translate(//Valute[CharCode='EUR']/Value,',','')")/10000/IMPORTXML("https://www.cbr.ru/scripts/XML_daily.asp?date_req="&amp;TEXT(K$32,"dd/mm/yyyy"),"//Valute[CharCode='EUR']/Nominal"),""))</f>
        <v/>
      </c>
      <c r="L34" s="36" t="n"/>
    </row>
    <row r="35" ht="15" customHeight="1" s="33">
      <c r="A35" s="64" t="n"/>
      <c r="B35" s="50" t="inlineStr">
        <is>
          <t>Бат</t>
        </is>
      </c>
      <c r="C35" s="65">
        <f>IF(OR(C$32="",NOW()&lt;C$32),"",IFERROR(IMPORTXML("https://www.cbr.ru/scripts/XML_daily.asp?date_req="&amp;TEXT(C$32,"dd/mm/yyyy"),"translate(//Valute[CharCode='THB']/Value,',','')")/10000/IMPORTXML("https://www.cbr.ru/scripts/XML_daily.asp?date_req="&amp;TEXT(C$32,"dd/mm/yyyy"),"//Valute[CharCode='THB']/Nominal"),""))</f>
        <v/>
      </c>
      <c r="D35" s="36" t="n"/>
      <c r="F35" s="54">
        <f>IF(OR(N(C35)=0,N(G35)=0),"",(G35-C35)/ABS(C35))</f>
        <v/>
      </c>
      <c r="G35" s="65">
        <f>IF(OR(G$32="",NOW()&lt;G$32),"",IFERROR(IMPORTXML("https://www.cbr.ru/scripts/XML_daily.asp?date_req="&amp;TEXT(G$32,"dd/mm/yyyy"),"translate(//Valute[CharCode='THB']/Value,',','')")/10000/IMPORTXML("https://www.cbr.ru/scripts/XML_daily.asp?date_req="&amp;TEXT(G$32,"dd/mm/yyyy"),"//Valute[CharCode='THB']/Nominal"),""))</f>
        <v/>
      </c>
      <c r="H35" s="36" t="n"/>
      <c r="J35" s="54">
        <f>IF(OR(N(G35)=0,N(K35)=0),"",(K35-G35)/ABS(G35))</f>
        <v/>
      </c>
      <c r="K35" s="65">
        <f>IF(OR(K$32="",NOW()&lt;K$32),"",IFERROR(IMPORTXML("https://www.cbr.ru/scripts/XML_daily.asp?date_req="&amp;TEXT(K$32,"dd/mm/yyyy"),"translate(//Valute[CharCode='THB']/Value,',','')")/10000/IMPORTXML("https://www.cbr.ru/scripts/XML_daily.asp?date_req="&amp;TEXT(K$32,"dd/mm/yyyy"),"//Valute[CharCode='THB']/Nominal"),""))</f>
        <v/>
      </c>
      <c r="L35" s="36" t="n"/>
    </row>
    <row r="36" ht="15" customHeight="1" s="33">
      <c r="A36" s="64" t="n"/>
      <c r="B36" s="50" t="inlineStr">
        <is>
          <t>ВТС</t>
        </is>
      </c>
      <c r="C36" s="65">
        <f>IF(OR(C$32="",NOW()&lt;C$32,N(C33)=0),"",IFERROR(IF(INT(C$32)=TODAY(),GOOGLEFINANCE("CURRENCY:BTCUSD"),INDEX(GOOGLEFINANCE("CURRENCY:BTCUSD","price",C$32),2,2))*C33,""))</f>
        <v/>
      </c>
      <c r="D36" s="36" t="n"/>
      <c r="F36" s="54">
        <f>IF(OR(N(C36)=0,N(G36)=0),"",(G36-C36)/ABS(C36))</f>
        <v/>
      </c>
      <c r="G36" s="65">
        <f>IF(OR(G$32="",NOW()&lt;G$32,N(G33)=0),"",IFERROR(IF(INT(G$32)=TODAY(),GOOGLEFINANCE("CURRENCY:BTCUSD"),INDEX(GOOGLEFINANCE("CURRENCY:BTCUSD","price",G$32),2,2))*G33,""))</f>
        <v/>
      </c>
      <c r="H36" s="36" t="n"/>
      <c r="J36" s="54">
        <f>IF(OR(N(G36)=0,N(K36)=0),"",(K36-G36)/ABS(G36))</f>
        <v/>
      </c>
      <c r="K36" s="65">
        <f>IF(OR(K$32="",NOW()&lt;K$32,N(K33)=0),"",IFERROR(IF(INT(K$32)=TODAY(),GOOGLEFINANCE("CURRENCY:BTCUSD"),INDEX(GOOGLEFINANCE("CURRENCY:BTCUSD","price",K$32),2,2))*K33,""))</f>
        <v/>
      </c>
      <c r="L36" s="36" t="n"/>
    </row>
    <row r="37" ht="15" customHeight="1" s="33">
      <c r="A37" s="64" t="n"/>
      <c r="B37" s="50" t="inlineStr">
        <is>
          <t>ETH</t>
        </is>
      </c>
      <c r="C37" s="65">
        <f>IF(OR(C$32="",NOW()&lt;C$32,N(C33)=0),"",IFERROR(IF(INT(C$32)=TODAY(),GOOGLEFINANCE("CURRENCY:ETHUSD"),INDEX(GOOGLEFINANCE("CURRENCY:ETHUSD","price",C$32),2,2))*C33,""))</f>
        <v/>
      </c>
      <c r="D37" s="36" t="n"/>
      <c r="F37" s="54">
        <f>IF(OR(N(C37)=0,N(G37)=0),"",(G37-C37)/ABS(C37))</f>
        <v/>
      </c>
      <c r="G37" s="65">
        <f>IF(OR(G$32="",NOW()&lt;G$32,N(G33)=0),"",IFERROR(IF(INT(G$32)=TODAY(),GOOGLEFINANCE("CURRENCY:ETHUSD"),INDEX(GOOGLEFINANCE("CURRENCY:ETHUSD","price",G$32),2,2))*G33,""))</f>
        <v/>
      </c>
      <c r="H37" s="36" t="n"/>
      <c r="J37" s="54">
        <f>IF(OR(N(G37)=0,N(K37)=0),"",(K37-G37)/ABS(G37))</f>
        <v/>
      </c>
      <c r="K37" s="65">
        <f>IF(OR(K$32="",NOW()&lt;K$32,N(K33)=0),"",IFERROR(IF(INT(K$32)=TODAY(),GOOGLEFINANCE("CURRENCY:ETHUSD"),INDEX(GOOGLEFINANCE("CURRENCY:ETHUSD","price",K$32),2,2))*K33,""))</f>
        <v/>
      </c>
      <c r="L37" s="36" t="n"/>
    </row>
    <row r="38"/>
    <row r="39" ht="15" customHeight="1" s="33">
      <c r="B39" s="66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«Продать на Авито» и «Плавающий капитал» подтягиваются со своих листов. Доллары/Евро/ВТС = кол-во × курс. У каждого месяца своя колонка «Комментарий». Курсы (строки 33–37) подтягиваются сами 29-го числа месяца в 10:00: доллар, евро, бат — ЦБ РФ; BTC, ETH — GOOGLEFINANCE (к USD) × курс доллара ЦБ.</t>
        </is>
      </c>
    </row>
  </sheetData>
  <mergeCells count="25">
    <mergeCell ref="C1:E1"/>
    <mergeCell ref="C34:D34"/>
    <mergeCell ref="K34:L34"/>
    <mergeCell ref="C33:D33"/>
    <mergeCell ref="K33:L33"/>
    <mergeCell ref="G36:H36"/>
    <mergeCell ref="K36:L36"/>
    <mergeCell ref="C35:D35"/>
    <mergeCell ref="K35:L35"/>
    <mergeCell ref="K32:L32"/>
    <mergeCell ref="G37:H37"/>
    <mergeCell ref="B1:B2"/>
    <mergeCell ref="G1:I1"/>
    <mergeCell ref="G34:H34"/>
    <mergeCell ref="G33:H33"/>
    <mergeCell ref="C36:D36"/>
    <mergeCell ref="A1:A2"/>
    <mergeCell ref="G35:H35"/>
    <mergeCell ref="C32:D32"/>
    <mergeCell ref="G32:H32"/>
    <mergeCell ref="C37:D37"/>
    <mergeCell ref="K37:L37"/>
    <mergeCell ref="F1:F2"/>
    <mergeCell ref="J1:J2"/>
    <mergeCell ref="K1:M1"/>
  </mergeCells>
  <conditionalFormatting sqref="F3:F3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J3:J3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M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30" customWidth="1" style="32" min="2" max="2"/>
    <col width="15" customWidth="1" style="32" min="3" max="3"/>
    <col width="14" customWidth="1" style="32" min="4" max="4"/>
    <col width="26" customWidth="1" style="32" min="5" max="5"/>
    <col width="9" customWidth="1" style="32" min="6" max="6"/>
    <col width="15" customWidth="1" style="32" min="7" max="7"/>
    <col width="14" customWidth="1" style="32" min="8" max="8"/>
    <col width="26" customWidth="1" style="32" min="9" max="9"/>
    <col width="9" customWidth="1" style="32" min="10" max="10"/>
    <col width="15" customWidth="1" style="33" min="11" max="11"/>
    <col width="14" customWidth="1" style="33" min="12" max="12"/>
    <col width="26" customWidth="1" style="33" min="13" max="13"/>
  </cols>
  <sheetData>
    <row r="1" ht="24" customHeight="1" s="33">
      <c r="A1" s="34" t="inlineStr">
        <is>
          <t>№</t>
        </is>
      </c>
      <c r="B1" s="34" t="inlineStr">
        <is>
          <t>ПЛАВАЮЩИЙ КАПИТАЛ</t>
        </is>
      </c>
      <c r="C1" s="34" t="n">
        <v>46296</v>
      </c>
      <c r="D1" s="35" t="n"/>
      <c r="E1" s="36" t="n"/>
      <c r="F1" s="34" t="inlineStr">
        <is>
          <t>± %</t>
        </is>
      </c>
      <c r="G1" s="34" t="n">
        <v>46327</v>
      </c>
      <c r="H1" s="35" t="n"/>
      <c r="I1" s="36" t="n"/>
      <c r="J1" s="34" t="inlineStr">
        <is>
          <t>± %</t>
        </is>
      </c>
      <c r="K1" s="34" t="n">
        <v>46357</v>
      </c>
      <c r="L1" s="35" t="n"/>
      <c r="M1" s="36" t="n"/>
    </row>
    <row r="2" ht="25.5" customHeight="1" s="33">
      <c r="A2" s="37" t="n"/>
      <c r="B2" s="37" t="n"/>
      <c r="C2" s="38" t="inlineStr">
        <is>
          <t>Кол-во / заметка</t>
        </is>
      </c>
      <c r="D2" s="38" t="inlineStr">
        <is>
          <t>Сумма, ₽</t>
        </is>
      </c>
      <c r="E2" s="38" t="inlineStr">
        <is>
          <t>Комментарий</t>
        </is>
      </c>
      <c r="F2" s="37" t="n"/>
      <c r="G2" s="38" t="inlineStr">
        <is>
          <t>Кол-во / заметка</t>
        </is>
      </c>
      <c r="H2" s="38" t="inlineStr">
        <is>
          <t>Сумма, ₽</t>
        </is>
      </c>
      <c r="I2" s="38" t="inlineStr">
        <is>
          <t>Комментарий</t>
        </is>
      </c>
      <c r="J2" s="37" t="n"/>
      <c r="K2" s="38" t="inlineStr">
        <is>
          <t>Кол-во / заметка</t>
        </is>
      </c>
      <c r="L2" s="38" t="inlineStr">
        <is>
          <t>Сумма, ₽</t>
        </is>
      </c>
      <c r="M2" s="38" t="inlineStr">
        <is>
          <t>Комментарий</t>
        </is>
      </c>
    </row>
    <row r="3" ht="15" customHeight="1" s="33">
      <c r="A3" s="39" t="n"/>
      <c r="B3" s="40" t="inlineStr">
        <is>
          <t>Плавающий капитал (всего)</t>
        </is>
      </c>
      <c r="C3" s="39" t="n"/>
      <c r="D3" s="41">
        <f>D4</f>
        <v/>
      </c>
      <c r="E3" s="42" t="n"/>
      <c r="F3" s="43">
        <f>IF(OR(N(D3)=0,N(H3)=0),"",(H3-D3)/ABS(D3))</f>
        <v/>
      </c>
      <c r="G3" s="39" t="n"/>
      <c r="H3" s="41">
        <f>H4</f>
        <v/>
      </c>
      <c r="I3" s="42" t="n"/>
      <c r="J3" s="43">
        <f>IF(OR(N(H3)=0,N(L3)=0),"",(L3-H3)/ABS(H3))</f>
        <v/>
      </c>
      <c r="K3" s="39" t="n"/>
      <c r="L3" s="41">
        <f>L4</f>
        <v/>
      </c>
      <c r="M3" s="42" t="n"/>
    </row>
    <row r="4" ht="15" customHeight="1" s="33">
      <c r="A4" s="44" t="n"/>
      <c r="B4" s="45" t="inlineStr">
        <is>
          <t>Активы</t>
        </is>
      </c>
      <c r="C4" s="44" t="n"/>
      <c r="D4" s="46">
        <f>SUM(D5:D12)</f>
        <v/>
      </c>
      <c r="E4" s="47" t="n"/>
      <c r="F4" s="48">
        <f>IF(OR(N(D4)=0,N(H4)=0),"",(H4-D4)/ABS(D4))</f>
        <v/>
      </c>
      <c r="G4" s="44" t="n"/>
      <c r="H4" s="46">
        <f>SUM(H5:H12)</f>
        <v/>
      </c>
      <c r="I4" s="47" t="n"/>
      <c r="J4" s="48">
        <f>IF(OR(N(H4)=0,N(L4)=0),"",(L4-H4)/ABS(H4))</f>
        <v/>
      </c>
      <c r="K4" s="44" t="n"/>
      <c r="L4" s="46">
        <f>SUM(L5:L12)</f>
        <v/>
      </c>
      <c r="M4" s="47" t="n"/>
    </row>
    <row r="5" ht="15" customHeight="1" s="33">
      <c r="A5" s="49" t="n">
        <v>1</v>
      </c>
      <c r="B5" s="55" t="n"/>
      <c r="C5" s="51" t="n"/>
      <c r="D5" s="52" t="n"/>
      <c r="E5" s="53" t="n"/>
      <c r="F5" s="54">
        <f>IF(OR(N(D5)=0,N(H5)=0),"",(H5-D5)/ABS(D5))</f>
        <v/>
      </c>
      <c r="G5" s="51" t="n"/>
      <c r="H5" s="52" t="n"/>
      <c r="I5" s="53" t="n"/>
      <c r="J5" s="54">
        <f>IF(OR(N(H5)=0,N(L5)=0),"",(L5-H5)/ABS(H5))</f>
        <v/>
      </c>
      <c r="K5" s="51" t="n"/>
      <c r="L5" s="52" t="n"/>
      <c r="M5" s="53" t="n"/>
    </row>
    <row r="6" ht="15" customHeight="1" s="33">
      <c r="A6" s="49" t="n">
        <v>2</v>
      </c>
      <c r="B6" s="55" t="n"/>
      <c r="C6" s="51" t="n"/>
      <c r="D6" s="52" t="n"/>
      <c r="E6" s="53" t="n"/>
      <c r="F6" s="54">
        <f>IF(OR(N(D6)=0,N(H6)=0),"",(H6-D6)/ABS(D6))</f>
        <v/>
      </c>
      <c r="G6" s="51" t="n"/>
      <c r="H6" s="52" t="n"/>
      <c r="I6" s="53" t="n"/>
      <c r="J6" s="54">
        <f>IF(OR(N(H6)=0,N(L6)=0),"",(L6-H6)/ABS(H6))</f>
        <v/>
      </c>
      <c r="K6" s="51" t="n"/>
      <c r="L6" s="52" t="n"/>
      <c r="M6" s="53" t="n"/>
    </row>
    <row r="7" ht="15" customHeight="1" s="33">
      <c r="A7" s="49" t="n">
        <v>3</v>
      </c>
      <c r="B7" s="55" t="n"/>
      <c r="C7" s="51" t="n"/>
      <c r="D7" s="52" t="n"/>
      <c r="E7" s="53" t="n"/>
      <c r="F7" s="54">
        <f>IF(OR(N(D7)=0,N(H7)=0),"",(H7-D7)/ABS(D7))</f>
        <v/>
      </c>
      <c r="G7" s="51" t="n"/>
      <c r="H7" s="52" t="n"/>
      <c r="I7" s="53" t="n"/>
      <c r="J7" s="54">
        <f>IF(OR(N(H7)=0,N(L7)=0),"",(L7-H7)/ABS(H7))</f>
        <v/>
      </c>
      <c r="K7" s="51" t="n"/>
      <c r="L7" s="52" t="n"/>
      <c r="M7" s="53" t="n"/>
    </row>
    <row r="8" ht="15" customHeight="1" s="33">
      <c r="A8" s="49" t="n">
        <v>4</v>
      </c>
      <c r="B8" s="55" t="n"/>
      <c r="C8" s="51" t="n"/>
      <c r="D8" s="52" t="n"/>
      <c r="E8" s="53" t="n"/>
      <c r="F8" s="54">
        <f>IF(OR(N(D8)=0,N(H8)=0),"",(H8-D8)/ABS(D8))</f>
        <v/>
      </c>
      <c r="G8" s="51" t="n"/>
      <c r="H8" s="52" t="n"/>
      <c r="I8" s="53" t="n"/>
      <c r="J8" s="54">
        <f>IF(OR(N(H8)=0,N(L8)=0),"",(L8-H8)/ABS(H8))</f>
        <v/>
      </c>
      <c r="K8" s="51" t="n"/>
      <c r="L8" s="52" t="n"/>
      <c r="M8" s="53" t="n"/>
    </row>
    <row r="9" ht="15" customHeight="1" s="33">
      <c r="A9" s="49" t="n">
        <v>5</v>
      </c>
      <c r="B9" s="55" t="n"/>
      <c r="C9" s="51" t="n"/>
      <c r="D9" s="52" t="n"/>
      <c r="E9" s="53" t="n"/>
      <c r="F9" s="54">
        <f>IF(OR(N(D9)=0,N(H9)=0),"",(H9-D9)/ABS(D9))</f>
        <v/>
      </c>
      <c r="G9" s="51" t="n"/>
      <c r="H9" s="52" t="n"/>
      <c r="I9" s="53" t="n"/>
      <c r="J9" s="54">
        <f>IF(OR(N(H9)=0,N(L9)=0),"",(L9-H9)/ABS(H9))</f>
        <v/>
      </c>
      <c r="K9" s="51" t="n"/>
      <c r="L9" s="52" t="n"/>
      <c r="M9" s="53" t="n"/>
    </row>
    <row r="10" ht="15" customHeight="1" s="33">
      <c r="A10" s="49" t="n">
        <v>6</v>
      </c>
      <c r="B10" s="55" t="n"/>
      <c r="C10" s="51" t="n"/>
      <c r="D10" s="52" t="n"/>
      <c r="E10" s="53" t="n"/>
      <c r="F10" s="54">
        <f>IF(OR(N(D10)=0,N(H10)=0),"",(H10-D10)/ABS(D10))</f>
        <v/>
      </c>
      <c r="G10" s="51" t="n"/>
      <c r="H10" s="52" t="n"/>
      <c r="I10" s="53" t="n"/>
      <c r="J10" s="54">
        <f>IF(OR(N(H10)=0,N(L10)=0),"",(L10-H10)/ABS(H10))</f>
        <v/>
      </c>
      <c r="K10" s="51" t="n"/>
      <c r="L10" s="52" t="n"/>
      <c r="M10" s="53" t="n"/>
    </row>
    <row r="11" ht="15" customHeight="1" s="33">
      <c r="A11" s="49" t="n">
        <v>7</v>
      </c>
      <c r="B11" s="55" t="n"/>
      <c r="C11" s="51" t="n"/>
      <c r="D11" s="52" t="n"/>
      <c r="E11" s="53" t="n"/>
      <c r="F11" s="54">
        <f>IF(OR(N(D11)=0,N(H11)=0),"",(H11-D11)/ABS(D11))</f>
        <v/>
      </c>
      <c r="G11" s="51" t="n"/>
      <c r="H11" s="52" t="n"/>
      <c r="I11" s="53" t="n"/>
      <c r="J11" s="54">
        <f>IF(OR(N(H11)=0,N(L11)=0),"",(L11-H11)/ABS(H11))</f>
        <v/>
      </c>
      <c r="K11" s="51" t="n"/>
      <c r="L11" s="52" t="n"/>
      <c r="M11" s="53" t="n"/>
    </row>
    <row r="12" ht="15" customHeight="1" s="33">
      <c r="A12" s="49" t="n">
        <v>8</v>
      </c>
      <c r="B12" s="55" t="n"/>
      <c r="C12" s="51" t="n"/>
      <c r="D12" s="52" t="n"/>
      <c r="E12" s="53" t="n"/>
      <c r="F12" s="54">
        <f>IF(OR(N(D12)=0,N(H12)=0),"",(H12-D12)/ABS(D12))</f>
        <v/>
      </c>
      <c r="G12" s="51" t="n"/>
      <c r="H12" s="52" t="n"/>
      <c r="I12" s="53" t="n"/>
      <c r="J12" s="54">
        <f>IF(OR(N(H12)=0,N(L12)=0),"",(L12-H12)/ABS(H12))</f>
        <v/>
      </c>
      <c r="K12" s="51" t="n"/>
      <c r="L12" s="52" t="n"/>
      <c r="M12" s="53" t="n"/>
    </row>
    <row r="13"/>
    <row r="14" ht="15" customHeight="1" s="33">
      <c r="B14" s="66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Названия статей вписывай сам в колонку B. Итог попадает в «КАПИТАЛ». У каждого месяца своя колонка «Комментарий».</t>
        </is>
      </c>
    </row>
  </sheetData>
  <mergeCells count="7">
    <mergeCell ref="C1:E1"/>
    <mergeCell ref="G1:I1"/>
    <mergeCell ref="B1:B2"/>
    <mergeCell ref="F1:F2"/>
    <mergeCell ref="A1:A2"/>
    <mergeCell ref="J1:J2"/>
    <mergeCell ref="K1:M1"/>
  </mergeCells>
  <conditionalFormatting sqref="F3:F12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J3:J12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K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26" customWidth="1" style="32" min="4" max="4"/>
    <col width="9" customWidth="1" style="32" min="5" max="5"/>
    <col width="14" customWidth="1" style="32" min="6" max="6"/>
    <col width="26" customWidth="1" style="32" min="7" max="7"/>
    <col width="9" customWidth="1" style="32" min="8" max="8"/>
    <col width="14" customWidth="1" style="33" min="9" max="9"/>
    <col width="26" customWidth="1" style="33" min="10" max="10"/>
    <col width="16" customWidth="1" style="33" min="11" max="11"/>
  </cols>
  <sheetData>
    <row r="1" ht="30" customHeight="1" s="33">
      <c r="A1" s="34" t="inlineStr">
        <is>
          <t>№</t>
        </is>
      </c>
      <c r="B1" s="34" t="inlineStr">
        <is>
          <t>Статья</t>
        </is>
      </c>
      <c r="C1" s="34" t="n">
        <v>46296</v>
      </c>
      <c r="D1" s="67" t="inlineStr">
        <is>
          <t>Комментарий</t>
        </is>
      </c>
      <c r="E1" s="34" t="inlineStr">
        <is>
          <t>± %</t>
        </is>
      </c>
      <c r="F1" s="34" t="n">
        <v>46327</v>
      </c>
      <c r="G1" s="67" t="inlineStr">
        <is>
          <t>Комментарий</t>
        </is>
      </c>
      <c r="H1" s="34" t="inlineStr">
        <is>
          <t>± %</t>
        </is>
      </c>
      <c r="I1" s="34" t="n">
        <v>46357</v>
      </c>
      <c r="J1" s="67" t="inlineStr">
        <is>
          <t>Комментарий</t>
        </is>
      </c>
      <c r="K1" s="34" t="inlineStr">
        <is>
          <t>Итого за период</t>
        </is>
      </c>
    </row>
    <row r="2" ht="15" customHeight="1" s="33">
      <c r="A2" s="44" t="n"/>
      <c r="B2" s="45" t="inlineStr">
        <is>
          <t>Доходы — итого за месяц</t>
        </is>
      </c>
      <c r="C2" s="46">
        <f>SUM(C3:C15)</f>
        <v/>
      </c>
      <c r="D2" s="47" t="n"/>
      <c r="E2" s="48">
        <f>IF(OR(N(C2)=0,N(F2)=0),"",(F2-C2)/ABS(C2))</f>
        <v/>
      </c>
      <c r="F2" s="46">
        <f>SUM(F3:F15)</f>
        <v/>
      </c>
      <c r="G2" s="47" t="n"/>
      <c r="H2" s="48">
        <f>IF(OR(N(F2)=0,N(I2)=0),"",(I2-F2)/ABS(F2))</f>
        <v/>
      </c>
      <c r="I2" s="46">
        <f>SUM(I3:I15)</f>
        <v/>
      </c>
      <c r="J2" s="47" t="n"/>
      <c r="K2" s="46">
        <f>SUM(C2,F2,I2)</f>
        <v/>
      </c>
    </row>
    <row r="3" ht="15" customHeight="1" s="33">
      <c r="A3" s="49" t="n">
        <v>1</v>
      </c>
      <c r="B3" s="50" t="inlineStr">
        <is>
          <t>Карманные деньги</t>
        </is>
      </c>
      <c r="C3" s="52" t="n"/>
      <c r="D3" s="53" t="n"/>
      <c r="E3" s="54">
        <f>IF(OR(N(C3)=0,N(F3)=0),"",(F3-C3)/ABS(C3))</f>
        <v/>
      </c>
      <c r="F3" s="52" t="n"/>
      <c r="G3" s="53" t="n"/>
      <c r="H3" s="54">
        <f>IF(OR(N(F3)=0,N(I3)=0),"",(I3-F3)/ABS(F3))</f>
        <v/>
      </c>
      <c r="I3" s="52" t="n"/>
      <c r="J3" s="53" t="n"/>
      <c r="K3" s="56">
        <f>SUM(C3,F3,I3)</f>
        <v/>
      </c>
    </row>
    <row r="4" ht="15" customHeight="1" s="33">
      <c r="A4" s="49" t="n">
        <v>2</v>
      </c>
      <c r="B4" s="50" t="inlineStr">
        <is>
          <t>Аванс на расходы</t>
        </is>
      </c>
      <c r="C4" s="52" t="n"/>
      <c r="D4" s="53" t="n"/>
      <c r="E4" s="54">
        <f>IF(OR(N(C4)=0,N(F4)=0),"",(F4-C4)/ABS(C4))</f>
        <v/>
      </c>
      <c r="F4" s="52" t="n"/>
      <c r="G4" s="53" t="n"/>
      <c r="H4" s="54">
        <f>IF(OR(N(F4)=0,N(I4)=0),"",(I4-F4)/ABS(F4))</f>
        <v/>
      </c>
      <c r="I4" s="52" t="n"/>
      <c r="J4" s="53" t="n"/>
      <c r="K4" s="56">
        <f>SUM(C4,F4,I4)</f>
        <v/>
      </c>
    </row>
    <row r="5" ht="15" customHeight="1" s="33">
      <c r="A5" s="49" t="n">
        <v>3</v>
      </c>
      <c r="B5" s="50" t="inlineStr">
        <is>
          <t>Авито</t>
        </is>
      </c>
      <c r="C5" s="52" t="n"/>
      <c r="D5" s="53" t="n"/>
      <c r="E5" s="54">
        <f>IF(OR(N(C5)=0,N(F5)=0),"",(F5-C5)/ABS(C5))</f>
        <v/>
      </c>
      <c r="F5" s="52" t="n"/>
      <c r="G5" s="53" t="n"/>
      <c r="H5" s="54">
        <f>IF(OR(N(F5)=0,N(I5)=0),"",(I5-F5)/ABS(F5))</f>
        <v/>
      </c>
      <c r="I5" s="52" t="n"/>
      <c r="J5" s="53" t="n"/>
      <c r="K5" s="56">
        <f>SUM(C5,F5,I5)</f>
        <v/>
      </c>
    </row>
    <row r="6" ht="15" customHeight="1" s="33">
      <c r="A6" s="49" t="n">
        <v>4</v>
      </c>
      <c r="B6" s="50" t="inlineStr">
        <is>
          <t>Подарки</t>
        </is>
      </c>
      <c r="C6" s="52" t="n"/>
      <c r="D6" s="53" t="n"/>
      <c r="E6" s="54">
        <f>IF(OR(N(C6)=0,N(F6)=0),"",(F6-C6)/ABS(C6))</f>
        <v/>
      </c>
      <c r="F6" s="52" t="n"/>
      <c r="G6" s="53" t="n"/>
      <c r="H6" s="54">
        <f>IF(OR(N(F6)=0,N(I6)=0),"",(I6-F6)/ABS(F6))</f>
        <v/>
      </c>
      <c r="I6" s="52" t="n"/>
      <c r="J6" s="53" t="n"/>
      <c r="K6" s="56">
        <f>SUM(C6,F6,I6)</f>
        <v/>
      </c>
    </row>
    <row r="7" ht="15" customHeight="1" s="33">
      <c r="A7" s="49" t="n">
        <v>5</v>
      </c>
      <c r="B7" s="50" t="inlineStr">
        <is>
          <t>Whoop</t>
        </is>
      </c>
      <c r="C7" s="52" t="n"/>
      <c r="D7" s="53" t="n"/>
      <c r="E7" s="54">
        <f>IF(OR(N(C7)=0,N(F7)=0),"",(F7-C7)/ABS(C7))</f>
        <v/>
      </c>
      <c r="F7" s="52" t="n"/>
      <c r="G7" s="53" t="n"/>
      <c r="H7" s="54">
        <f>IF(OR(N(F7)=0,N(I7)=0),"",(I7-F7)/ABS(F7))</f>
        <v/>
      </c>
      <c r="I7" s="52" t="n"/>
      <c r="J7" s="53" t="n"/>
      <c r="K7" s="56">
        <f>SUM(C7,F7,I7)</f>
        <v/>
      </c>
    </row>
    <row r="8" ht="15" customHeight="1" s="33">
      <c r="A8" s="49" t="n">
        <v>6</v>
      </c>
      <c r="B8" s="50" t="inlineStr">
        <is>
          <t>Прочие</t>
        </is>
      </c>
      <c r="C8" s="52" t="n"/>
      <c r="D8" s="53" t="n"/>
      <c r="E8" s="54">
        <f>IF(OR(N(C8)=0,N(F8)=0),"",(F8-C8)/ABS(C8))</f>
        <v/>
      </c>
      <c r="F8" s="52" t="n"/>
      <c r="G8" s="53" t="n"/>
      <c r="H8" s="54">
        <f>IF(OR(N(F8)=0,N(I8)=0),"",(I8-F8)/ABS(F8))</f>
        <v/>
      </c>
      <c r="I8" s="52" t="n"/>
      <c r="J8" s="53" t="n"/>
      <c r="K8" s="56">
        <f>SUM(C8,F8,I8)</f>
        <v/>
      </c>
    </row>
    <row r="9" ht="15" customHeight="1" s="33">
      <c r="A9" s="49" t="n">
        <v>7</v>
      </c>
      <c r="B9" s="55" t="n"/>
      <c r="C9" s="52" t="n"/>
      <c r="D9" s="53" t="n"/>
      <c r="E9" s="54">
        <f>IF(OR(N(C9)=0,N(F9)=0),"",(F9-C9)/ABS(C9))</f>
        <v/>
      </c>
      <c r="F9" s="52" t="n"/>
      <c r="G9" s="53" t="n"/>
      <c r="H9" s="54">
        <f>IF(OR(N(F9)=0,N(I9)=0),"",(I9-F9)/ABS(F9))</f>
        <v/>
      </c>
      <c r="I9" s="52" t="n"/>
      <c r="J9" s="53" t="n"/>
      <c r="K9" s="56">
        <f>SUM(C9,F9,I9)</f>
        <v/>
      </c>
    </row>
    <row r="10" ht="15" customHeight="1" s="33">
      <c r="A10" s="49" t="n">
        <v>8</v>
      </c>
      <c r="B10" s="55" t="n"/>
      <c r="C10" s="52" t="n"/>
      <c r="D10" s="53" t="n"/>
      <c r="E10" s="54">
        <f>IF(OR(N(C10)=0,N(F10)=0),"",(F10-C10)/ABS(C10))</f>
        <v/>
      </c>
      <c r="F10" s="52" t="n"/>
      <c r="G10" s="53" t="n"/>
      <c r="H10" s="54">
        <f>IF(OR(N(F10)=0,N(I10)=0),"",(I10-F10)/ABS(F10))</f>
        <v/>
      </c>
      <c r="I10" s="52" t="n"/>
      <c r="J10" s="53" t="n"/>
      <c r="K10" s="56">
        <f>SUM(C10,F10,I10)</f>
        <v/>
      </c>
    </row>
    <row r="11" ht="15" customHeight="1" s="33">
      <c r="A11" s="49" t="n">
        <v>9</v>
      </c>
      <c r="B11" s="55" t="n"/>
      <c r="C11" s="52" t="n"/>
      <c r="D11" s="53" t="n"/>
      <c r="E11" s="54">
        <f>IF(OR(N(C11)=0,N(F11)=0),"",(F11-C11)/ABS(C11))</f>
        <v/>
      </c>
      <c r="F11" s="52" t="n"/>
      <c r="G11" s="53" t="n"/>
      <c r="H11" s="54">
        <f>IF(OR(N(F11)=0,N(I11)=0),"",(I11-F11)/ABS(F11))</f>
        <v/>
      </c>
      <c r="I11" s="52" t="n"/>
      <c r="J11" s="53" t="n"/>
      <c r="K11" s="56">
        <f>SUM(C11,F11,I11)</f>
        <v/>
      </c>
    </row>
    <row r="12" ht="15" customHeight="1" s="33">
      <c r="A12" s="49" t="n">
        <v>10</v>
      </c>
      <c r="B12" s="55" t="n"/>
      <c r="C12" s="52" t="n"/>
      <c r="D12" s="53" t="n"/>
      <c r="E12" s="54">
        <f>IF(OR(N(C12)=0,N(F12)=0),"",(F12-C12)/ABS(C12))</f>
        <v/>
      </c>
      <c r="F12" s="52" t="n"/>
      <c r="G12" s="53" t="n"/>
      <c r="H12" s="54">
        <f>IF(OR(N(F12)=0,N(I12)=0),"",(I12-F12)/ABS(F12))</f>
        <v/>
      </c>
      <c r="I12" s="52" t="n"/>
      <c r="J12" s="53" t="n"/>
      <c r="K12" s="56">
        <f>SUM(C12,F12,I12)</f>
        <v/>
      </c>
    </row>
    <row r="13" ht="15" customHeight="1" s="33">
      <c r="A13" s="49" t="n">
        <v>11</v>
      </c>
      <c r="B13" s="55" t="n"/>
      <c r="C13" s="52" t="n"/>
      <c r="D13" s="53" t="n"/>
      <c r="E13" s="54">
        <f>IF(OR(N(C13)=0,N(F13)=0),"",(F13-C13)/ABS(C13))</f>
        <v/>
      </c>
      <c r="F13" s="52" t="n"/>
      <c r="G13" s="53" t="n"/>
      <c r="H13" s="54">
        <f>IF(OR(N(F13)=0,N(I13)=0),"",(I13-F13)/ABS(F13))</f>
        <v/>
      </c>
      <c r="I13" s="52" t="n"/>
      <c r="J13" s="53" t="n"/>
      <c r="K13" s="56">
        <f>SUM(C13,F13,I13)</f>
        <v/>
      </c>
    </row>
    <row r="14" ht="15" customHeight="1" s="33">
      <c r="A14" s="49" t="n">
        <v>12</v>
      </c>
      <c r="B14" s="55" t="n"/>
      <c r="C14" s="52" t="n"/>
      <c r="D14" s="53" t="n"/>
      <c r="E14" s="54">
        <f>IF(OR(N(C14)=0,N(F14)=0),"",(F14-C14)/ABS(C14))</f>
        <v/>
      </c>
      <c r="F14" s="52" t="n"/>
      <c r="G14" s="53" t="n"/>
      <c r="H14" s="54">
        <f>IF(OR(N(F14)=0,N(I14)=0),"",(I14-F14)/ABS(F14))</f>
        <v/>
      </c>
      <c r="I14" s="52" t="n"/>
      <c r="J14" s="53" t="n"/>
      <c r="K14" s="56">
        <f>SUM(C14,F14,I14)</f>
        <v/>
      </c>
    </row>
    <row r="15" ht="15" customHeight="1" s="33">
      <c r="A15" s="49" t="n">
        <v>13</v>
      </c>
      <c r="B15" s="55" t="n"/>
      <c r="C15" s="52" t="n"/>
      <c r="D15" s="53" t="n"/>
      <c r="E15" s="54">
        <f>IF(OR(N(C15)=0,N(F15)=0),"",(F15-C15)/ABS(C15))</f>
        <v/>
      </c>
      <c r="F15" s="52" t="n"/>
      <c r="G15" s="53" t="n"/>
      <c r="H15" s="54">
        <f>IF(OR(N(F15)=0,N(I15)=0),"",(I15-F15)/ABS(F15))</f>
        <v/>
      </c>
      <c r="I15" s="52" t="n"/>
      <c r="J15" s="53" t="n"/>
      <c r="K15" s="56">
        <f>SUM(C15,F15,I15)</f>
        <v/>
      </c>
    </row>
    <row r="16" ht="15" customHeight="1" s="33">
      <c r="A16" s="44" t="n"/>
      <c r="B16" s="45" t="inlineStr">
        <is>
          <t>Расходы — итого за месяц</t>
        </is>
      </c>
      <c r="C16" s="46">
        <f>SUM(C17:C29)</f>
        <v/>
      </c>
      <c r="D16" s="47" t="n"/>
      <c r="E16" s="48">
        <f>IF(OR(N(C16)=0,N(F16)=0),"",(F16-C16)/ABS(C16))</f>
        <v/>
      </c>
      <c r="F16" s="46">
        <f>SUM(F17:F29)</f>
        <v/>
      </c>
      <c r="G16" s="47" t="n"/>
      <c r="H16" s="48">
        <f>IF(OR(N(F16)=0,N(I16)=0),"",(I16-F16)/ABS(F16))</f>
        <v/>
      </c>
      <c r="I16" s="46">
        <f>SUM(I17:I29)</f>
        <v/>
      </c>
      <c r="J16" s="47" t="n"/>
      <c r="K16" s="46">
        <f>SUM(C16,F16,I16)</f>
        <v/>
      </c>
    </row>
    <row r="17" ht="15" customHeight="1" s="33">
      <c r="A17" s="49" t="n">
        <v>1</v>
      </c>
      <c r="B17" s="50" t="inlineStr">
        <is>
          <t>Рестораны</t>
        </is>
      </c>
      <c r="C17" s="52" t="n"/>
      <c r="D17" s="53" t="n"/>
      <c r="E17" s="54">
        <f>IF(OR(N(C17)=0,N(F17)=0),"",(F17-C17)/ABS(C17))</f>
        <v/>
      </c>
      <c r="F17" s="52" t="n"/>
      <c r="G17" s="53" t="n"/>
      <c r="H17" s="54">
        <f>IF(OR(N(F17)=0,N(I17)=0),"",(I17-F17)/ABS(F17))</f>
        <v/>
      </c>
      <c r="I17" s="52" t="n"/>
      <c r="J17" s="53" t="n"/>
      <c r="K17" s="56">
        <f>SUM(C17,F17,I17)</f>
        <v/>
      </c>
    </row>
    <row r="18" ht="15" customHeight="1" s="33">
      <c r="A18" s="49" t="n">
        <v>2</v>
      </c>
      <c r="B18" s="50" t="inlineStr">
        <is>
          <t>Интернет покупки</t>
        </is>
      </c>
      <c r="C18" s="52" t="n"/>
      <c r="D18" s="53" t="n"/>
      <c r="E18" s="54">
        <f>IF(OR(N(C18)=0,N(F18)=0),"",(F18-C18)/ABS(C18))</f>
        <v/>
      </c>
      <c r="F18" s="52" t="n"/>
      <c r="G18" s="53" t="n"/>
      <c r="H18" s="54">
        <f>IF(OR(N(F18)=0,N(I18)=0),"",(I18-F18)/ABS(F18))</f>
        <v/>
      </c>
      <c r="I18" s="52" t="n"/>
      <c r="J18" s="53" t="n"/>
      <c r="K18" s="56">
        <f>SUM(C18,F18,I18)</f>
        <v/>
      </c>
    </row>
    <row r="19" ht="15" customHeight="1" s="33">
      <c r="A19" s="49" t="n">
        <v>3</v>
      </c>
      <c r="B19" s="50" t="inlineStr">
        <is>
          <t>Подарки</t>
        </is>
      </c>
      <c r="C19" s="52" t="n"/>
      <c r="D19" s="53" t="n"/>
      <c r="E19" s="54">
        <f>IF(OR(N(C19)=0,N(F19)=0),"",(F19-C19)/ABS(C19))</f>
        <v/>
      </c>
      <c r="F19" s="52" t="n"/>
      <c r="G19" s="53" t="n"/>
      <c r="H19" s="54">
        <f>IF(OR(N(F19)=0,N(I19)=0),"",(I19-F19)/ABS(F19))</f>
        <v/>
      </c>
      <c r="I19" s="52" t="n"/>
      <c r="J19" s="53" t="n"/>
      <c r="K19" s="56">
        <f>SUM(C19,F19,I19)</f>
        <v/>
      </c>
    </row>
    <row r="20" ht="15" customHeight="1" s="33">
      <c r="A20" s="49" t="n">
        <v>4</v>
      </c>
      <c r="B20" s="50" t="inlineStr">
        <is>
          <t>Одежда</t>
        </is>
      </c>
      <c r="C20" s="52" t="n"/>
      <c r="D20" s="53" t="n"/>
      <c r="E20" s="54">
        <f>IF(OR(N(C20)=0,N(F20)=0),"",(F20-C20)/ABS(C20))</f>
        <v/>
      </c>
      <c r="F20" s="52" t="n"/>
      <c r="G20" s="53" t="n"/>
      <c r="H20" s="54">
        <f>IF(OR(N(F20)=0,N(I20)=0),"",(I20-F20)/ABS(F20))</f>
        <v/>
      </c>
      <c r="I20" s="52" t="n"/>
      <c r="J20" s="53" t="n"/>
      <c r="K20" s="56">
        <f>SUM(C20,F20,I20)</f>
        <v/>
      </c>
    </row>
    <row r="21" ht="15" customHeight="1" s="33">
      <c r="A21" s="49" t="n">
        <v>5</v>
      </c>
      <c r="B21" s="50" t="inlineStr">
        <is>
          <t>МТС</t>
        </is>
      </c>
      <c r="C21" s="52" t="n"/>
      <c r="D21" s="53" t="n"/>
      <c r="E21" s="54">
        <f>IF(OR(N(C21)=0,N(F21)=0),"",(F21-C21)/ABS(C21))</f>
        <v/>
      </c>
      <c r="F21" s="52" t="n"/>
      <c r="G21" s="53" t="n"/>
      <c r="H21" s="54">
        <f>IF(OR(N(F21)=0,N(I21)=0),"",(I21-F21)/ABS(F21))</f>
        <v/>
      </c>
      <c r="I21" s="52" t="n"/>
      <c r="J21" s="53" t="n"/>
      <c r="K21" s="56">
        <f>SUM(C21,F21,I21)</f>
        <v/>
      </c>
    </row>
    <row r="22" ht="15" customHeight="1" s="33">
      <c r="A22" s="49" t="n">
        <v>6</v>
      </c>
      <c r="B22" s="50" t="inlineStr">
        <is>
          <t>Прочие</t>
        </is>
      </c>
      <c r="C22" s="52" t="n"/>
      <c r="D22" s="53" t="n"/>
      <c r="E22" s="54">
        <f>IF(OR(N(C22)=0,N(F22)=0),"",(F22-C22)/ABS(C22))</f>
        <v/>
      </c>
      <c r="F22" s="52" t="n"/>
      <c r="G22" s="53" t="n"/>
      <c r="H22" s="54">
        <f>IF(OR(N(F22)=0,N(I22)=0),"",(I22-F22)/ABS(F22))</f>
        <v/>
      </c>
      <c r="I22" s="52" t="n"/>
      <c r="J22" s="53" t="n"/>
      <c r="K22" s="56">
        <f>SUM(C22,F22,I22)</f>
        <v/>
      </c>
    </row>
    <row r="23" ht="15" customHeight="1" s="33">
      <c r="A23" s="49" t="n">
        <v>7</v>
      </c>
      <c r="B23" s="50" t="inlineStr">
        <is>
          <t>Курс</t>
        </is>
      </c>
      <c r="C23" s="52" t="n"/>
      <c r="D23" s="53" t="n"/>
      <c r="E23" s="54">
        <f>IF(OR(N(C23)=0,N(F23)=0),"",(F23-C23)/ABS(C23))</f>
        <v/>
      </c>
      <c r="F23" s="52" t="n"/>
      <c r="G23" s="53" t="n"/>
      <c r="H23" s="54">
        <f>IF(OR(N(F23)=0,N(I23)=0),"",(I23-F23)/ABS(F23))</f>
        <v/>
      </c>
      <c r="I23" s="52" t="n"/>
      <c r="J23" s="53" t="n"/>
      <c r="K23" s="56">
        <f>SUM(C23,F23,I23)</f>
        <v/>
      </c>
    </row>
    <row r="24" ht="15" customHeight="1" s="33">
      <c r="A24" s="49" t="n">
        <v>8</v>
      </c>
      <c r="B24" s="55" t="n"/>
      <c r="C24" s="52" t="n"/>
      <c r="D24" s="53" t="n"/>
      <c r="E24" s="54">
        <f>IF(OR(N(C24)=0,N(F24)=0),"",(F24-C24)/ABS(C24))</f>
        <v/>
      </c>
      <c r="F24" s="52" t="n"/>
      <c r="G24" s="53" t="n"/>
      <c r="H24" s="54">
        <f>IF(OR(N(F24)=0,N(I24)=0),"",(I24-F24)/ABS(F24))</f>
        <v/>
      </c>
      <c r="I24" s="52" t="n"/>
      <c r="J24" s="53" t="n"/>
      <c r="K24" s="56">
        <f>SUM(C24,F24,I24)</f>
        <v/>
      </c>
    </row>
    <row r="25" ht="15" customHeight="1" s="33">
      <c r="A25" s="49" t="n">
        <v>9</v>
      </c>
      <c r="B25" s="55" t="n"/>
      <c r="C25" s="52" t="n"/>
      <c r="D25" s="53" t="n"/>
      <c r="E25" s="54">
        <f>IF(OR(N(C25)=0,N(F25)=0),"",(F25-C25)/ABS(C25))</f>
        <v/>
      </c>
      <c r="F25" s="52" t="n"/>
      <c r="G25" s="53" t="n"/>
      <c r="H25" s="54">
        <f>IF(OR(N(F25)=0,N(I25)=0),"",(I25-F25)/ABS(F25))</f>
        <v/>
      </c>
      <c r="I25" s="52" t="n"/>
      <c r="J25" s="53" t="n"/>
      <c r="K25" s="56">
        <f>SUM(C25,F25,I25)</f>
        <v/>
      </c>
    </row>
    <row r="26" ht="15" customHeight="1" s="33">
      <c r="A26" s="49" t="n">
        <v>10</v>
      </c>
      <c r="B26" s="55" t="n"/>
      <c r="C26" s="52" t="n"/>
      <c r="D26" s="53" t="n"/>
      <c r="E26" s="54">
        <f>IF(OR(N(C26)=0,N(F26)=0),"",(F26-C26)/ABS(C26))</f>
        <v/>
      </c>
      <c r="F26" s="52" t="n"/>
      <c r="G26" s="53" t="n"/>
      <c r="H26" s="54">
        <f>IF(OR(N(F26)=0,N(I26)=0),"",(I26-F26)/ABS(F26))</f>
        <v/>
      </c>
      <c r="I26" s="52" t="n"/>
      <c r="J26" s="53" t="n"/>
      <c r="K26" s="56">
        <f>SUM(C26,F26,I26)</f>
        <v/>
      </c>
    </row>
    <row r="27" ht="15" customHeight="1" s="33">
      <c r="A27" s="49" t="n">
        <v>11</v>
      </c>
      <c r="B27" s="55" t="n"/>
      <c r="C27" s="52" t="n"/>
      <c r="D27" s="53" t="n"/>
      <c r="E27" s="54">
        <f>IF(OR(N(C27)=0,N(F27)=0),"",(F27-C27)/ABS(C27))</f>
        <v/>
      </c>
      <c r="F27" s="52" t="n"/>
      <c r="G27" s="53" t="n"/>
      <c r="H27" s="54">
        <f>IF(OR(N(F27)=0,N(I27)=0),"",(I27-F27)/ABS(F27))</f>
        <v/>
      </c>
      <c r="I27" s="52" t="n"/>
      <c r="J27" s="53" t="n"/>
      <c r="K27" s="56">
        <f>SUM(C27,F27,I27)</f>
        <v/>
      </c>
    </row>
    <row r="28" ht="15" customHeight="1" s="33">
      <c r="A28" s="49" t="n">
        <v>12</v>
      </c>
      <c r="B28" s="55" t="n"/>
      <c r="C28" s="52" t="n"/>
      <c r="D28" s="53" t="n"/>
      <c r="E28" s="54">
        <f>IF(OR(N(C28)=0,N(F28)=0),"",(F28-C28)/ABS(C28))</f>
        <v/>
      </c>
      <c r="F28" s="52" t="n"/>
      <c r="G28" s="53" t="n"/>
      <c r="H28" s="54">
        <f>IF(OR(N(F28)=0,N(I28)=0),"",(I28-F28)/ABS(F28))</f>
        <v/>
      </c>
      <c r="I28" s="52" t="n"/>
      <c r="J28" s="53" t="n"/>
      <c r="K28" s="56">
        <f>SUM(C28,F28,I28)</f>
        <v/>
      </c>
    </row>
    <row r="29" ht="15" customHeight="1" s="33">
      <c r="A29" s="49" t="n">
        <v>13</v>
      </c>
      <c r="B29" s="55" t="n"/>
      <c r="C29" s="52" t="n"/>
      <c r="D29" s="53" t="n"/>
      <c r="E29" s="54">
        <f>IF(OR(N(C29)=0,N(F29)=0),"",(F29-C29)/ABS(C29))</f>
        <v/>
      </c>
      <c r="F29" s="52" t="n"/>
      <c r="G29" s="53" t="n"/>
      <c r="H29" s="54">
        <f>IF(OR(N(F29)=0,N(I29)=0),"",(I29-F29)/ABS(F29))</f>
        <v/>
      </c>
      <c r="I29" s="52" t="n"/>
      <c r="J29" s="53" t="n"/>
      <c r="K29" s="56">
        <f>SUM(C29,F29,I29)</f>
        <v/>
      </c>
    </row>
    <row r="30" ht="15" customHeight="1" s="33">
      <c r="A30" s="44" t="n"/>
      <c r="B30" s="45" t="inlineStr">
        <is>
          <t>Расходы 11 — итого за месяц</t>
        </is>
      </c>
      <c r="C30" s="46">
        <f>SUM(C31:C40)</f>
        <v/>
      </c>
      <c r="D30" s="47" t="n"/>
      <c r="E30" s="48">
        <f>IF(OR(N(C30)=0,N(F30)=0),"",(F30-C30)/ABS(C30))</f>
        <v/>
      </c>
      <c r="F30" s="46">
        <f>SUM(F31:F40)</f>
        <v/>
      </c>
      <c r="G30" s="47" t="n"/>
      <c r="H30" s="48">
        <f>IF(OR(N(F30)=0,N(I30)=0),"",(I30-F30)/ABS(F30))</f>
        <v/>
      </c>
      <c r="I30" s="46">
        <f>SUM(I31:I40)</f>
        <v/>
      </c>
      <c r="J30" s="47" t="n"/>
      <c r="K30" s="46">
        <f>SUM(C30,F30,I30)</f>
        <v/>
      </c>
    </row>
    <row r="31" ht="15" customHeight="1" s="33">
      <c r="A31" s="49" t="n">
        <v>1</v>
      </c>
      <c r="B31" s="55" t="n"/>
      <c r="C31" s="52" t="n"/>
      <c r="D31" s="53" t="n"/>
      <c r="E31" s="54">
        <f>IF(OR(N(C31)=0,N(F31)=0),"",(F31-C31)/ABS(C31))</f>
        <v/>
      </c>
      <c r="F31" s="52" t="n"/>
      <c r="G31" s="53" t="n"/>
      <c r="H31" s="54">
        <f>IF(OR(N(F31)=0,N(I31)=0),"",(I31-F31)/ABS(F31))</f>
        <v/>
      </c>
      <c r="I31" s="52" t="n"/>
      <c r="J31" s="53" t="n"/>
      <c r="K31" s="56">
        <f>SUM(C31,F31,I31)</f>
        <v/>
      </c>
    </row>
    <row r="32" ht="15" customHeight="1" s="33">
      <c r="A32" s="49" t="n">
        <v>2</v>
      </c>
      <c r="B32" s="55" t="n"/>
      <c r="C32" s="52" t="n"/>
      <c r="D32" s="53" t="n"/>
      <c r="E32" s="54">
        <f>IF(OR(N(C32)=0,N(F32)=0),"",(F32-C32)/ABS(C32))</f>
        <v/>
      </c>
      <c r="F32" s="52" t="n"/>
      <c r="G32" s="53" t="n"/>
      <c r="H32" s="54">
        <f>IF(OR(N(F32)=0,N(I32)=0),"",(I32-F32)/ABS(F32))</f>
        <v/>
      </c>
      <c r="I32" s="52" t="n"/>
      <c r="J32" s="53" t="n"/>
      <c r="K32" s="56">
        <f>SUM(C32,F32,I32)</f>
        <v/>
      </c>
    </row>
    <row r="33" ht="15" customHeight="1" s="33">
      <c r="A33" s="49" t="n">
        <v>3</v>
      </c>
      <c r="B33" s="55" t="n"/>
      <c r="C33" s="52" t="n"/>
      <c r="D33" s="53" t="n"/>
      <c r="E33" s="54">
        <f>IF(OR(N(C33)=0,N(F33)=0),"",(F33-C33)/ABS(C33))</f>
        <v/>
      </c>
      <c r="F33" s="52" t="n"/>
      <c r="G33" s="53" t="n"/>
      <c r="H33" s="54">
        <f>IF(OR(N(F33)=0,N(I33)=0),"",(I33-F33)/ABS(F33))</f>
        <v/>
      </c>
      <c r="I33" s="52" t="n"/>
      <c r="J33" s="53" t="n"/>
      <c r="K33" s="56">
        <f>SUM(C33,F33,I33)</f>
        <v/>
      </c>
    </row>
    <row r="34" ht="15" customHeight="1" s="33">
      <c r="A34" s="49" t="n">
        <v>4</v>
      </c>
      <c r="B34" s="55" t="n"/>
      <c r="C34" s="52" t="n"/>
      <c r="D34" s="53" t="n"/>
      <c r="E34" s="54">
        <f>IF(OR(N(C34)=0,N(F34)=0),"",(F34-C34)/ABS(C34))</f>
        <v/>
      </c>
      <c r="F34" s="52" t="n"/>
      <c r="G34" s="53" t="n"/>
      <c r="H34" s="54">
        <f>IF(OR(N(F34)=0,N(I34)=0),"",(I34-F34)/ABS(F34))</f>
        <v/>
      </c>
      <c r="I34" s="52" t="n"/>
      <c r="J34" s="53" t="n"/>
      <c r="K34" s="56">
        <f>SUM(C34,F34,I34)</f>
        <v/>
      </c>
    </row>
    <row r="35" ht="15" customHeight="1" s="33">
      <c r="A35" s="49" t="n">
        <v>5</v>
      </c>
      <c r="B35" s="55" t="n"/>
      <c r="C35" s="52" t="n"/>
      <c r="D35" s="53" t="n"/>
      <c r="E35" s="54">
        <f>IF(OR(N(C35)=0,N(F35)=0),"",(F35-C35)/ABS(C35))</f>
        <v/>
      </c>
      <c r="F35" s="52" t="n"/>
      <c r="G35" s="53" t="n"/>
      <c r="H35" s="54">
        <f>IF(OR(N(F35)=0,N(I35)=0),"",(I35-F35)/ABS(F35))</f>
        <v/>
      </c>
      <c r="I35" s="52" t="n"/>
      <c r="J35" s="53" t="n"/>
      <c r="K35" s="56">
        <f>SUM(C35,F35,I35)</f>
        <v/>
      </c>
    </row>
    <row r="36" ht="15" customHeight="1" s="33">
      <c r="A36" s="49" t="n">
        <v>6</v>
      </c>
      <c r="B36" s="55" t="n"/>
      <c r="C36" s="52" t="n"/>
      <c r="D36" s="53" t="n"/>
      <c r="E36" s="54">
        <f>IF(OR(N(C36)=0,N(F36)=0),"",(F36-C36)/ABS(C36))</f>
        <v/>
      </c>
      <c r="F36" s="52" t="n"/>
      <c r="G36" s="53" t="n"/>
      <c r="H36" s="54">
        <f>IF(OR(N(F36)=0,N(I36)=0),"",(I36-F36)/ABS(F36))</f>
        <v/>
      </c>
      <c r="I36" s="52" t="n"/>
      <c r="J36" s="53" t="n"/>
      <c r="K36" s="56">
        <f>SUM(C36,F36,I36)</f>
        <v/>
      </c>
    </row>
    <row r="37" ht="15" customHeight="1" s="33">
      <c r="A37" s="49" t="n">
        <v>7</v>
      </c>
      <c r="B37" s="55" t="n"/>
      <c r="C37" s="52" t="n"/>
      <c r="D37" s="53" t="n"/>
      <c r="E37" s="54">
        <f>IF(OR(N(C37)=0,N(F37)=0),"",(F37-C37)/ABS(C37))</f>
        <v/>
      </c>
      <c r="F37" s="52" t="n"/>
      <c r="G37" s="53" t="n"/>
      <c r="H37" s="54">
        <f>IF(OR(N(F37)=0,N(I37)=0),"",(I37-F37)/ABS(F37))</f>
        <v/>
      </c>
      <c r="I37" s="52" t="n"/>
      <c r="J37" s="53" t="n"/>
      <c r="K37" s="56">
        <f>SUM(C37,F37,I37)</f>
        <v/>
      </c>
    </row>
    <row r="38" ht="15" customHeight="1" s="33">
      <c r="A38" s="49" t="n">
        <v>8</v>
      </c>
      <c r="B38" s="55" t="n"/>
      <c r="C38" s="52" t="n"/>
      <c r="D38" s="53" t="n"/>
      <c r="E38" s="54">
        <f>IF(OR(N(C38)=0,N(F38)=0),"",(F38-C38)/ABS(C38))</f>
        <v/>
      </c>
      <c r="F38" s="52" t="n"/>
      <c r="G38" s="53" t="n"/>
      <c r="H38" s="54">
        <f>IF(OR(N(F38)=0,N(I38)=0),"",(I38-F38)/ABS(F38))</f>
        <v/>
      </c>
      <c r="I38" s="52" t="n"/>
      <c r="J38" s="53" t="n"/>
      <c r="K38" s="56">
        <f>SUM(C38,F38,I38)</f>
        <v/>
      </c>
    </row>
    <row r="39" ht="15" customHeight="1" s="33">
      <c r="A39" s="49" t="n">
        <v>9</v>
      </c>
      <c r="B39" s="55" t="n"/>
      <c r="C39" s="52" t="n"/>
      <c r="D39" s="53" t="n"/>
      <c r="E39" s="54">
        <f>IF(OR(N(C39)=0,N(F39)=0),"",(F39-C39)/ABS(C39))</f>
        <v/>
      </c>
      <c r="F39" s="52" t="n"/>
      <c r="G39" s="53" t="n"/>
      <c r="H39" s="54">
        <f>IF(OR(N(F39)=0,N(I39)=0),"",(I39-F39)/ABS(F39))</f>
        <v/>
      </c>
      <c r="I39" s="52" t="n"/>
      <c r="J39" s="53" t="n"/>
      <c r="K39" s="56">
        <f>SUM(C39,F39,I39)</f>
        <v/>
      </c>
    </row>
    <row r="40" ht="15" customHeight="1" s="33">
      <c r="A40" s="49" t="n">
        <v>10</v>
      </c>
      <c r="B40" s="55" t="n"/>
      <c r="C40" s="52" t="n"/>
      <c r="D40" s="53" t="n"/>
      <c r="E40" s="54">
        <f>IF(OR(N(C40)=0,N(F40)=0),"",(F40-C40)/ABS(C40))</f>
        <v/>
      </c>
      <c r="F40" s="52" t="n"/>
      <c r="G40" s="53" t="n"/>
      <c r="H40" s="54">
        <f>IF(OR(N(F40)=0,N(I40)=0),"",(I40-F40)/ABS(F40))</f>
        <v/>
      </c>
      <c r="I40" s="52" t="n"/>
      <c r="J40" s="53" t="n"/>
      <c r="K40" s="56">
        <f>SUM(C40,F40,I40)</f>
        <v/>
      </c>
    </row>
    <row r="41" ht="15" customHeight="1" s="33">
      <c r="A41" s="68" t="n"/>
      <c r="B41" s="69" t="inlineStr">
        <is>
          <t>Остаток (Доходы − Расходы − Расходы 11)</t>
        </is>
      </c>
      <c r="C41" s="70">
        <f>C2-C16-C30</f>
        <v/>
      </c>
      <c r="D41" s="71" t="n"/>
      <c r="E41" s="72">
        <f>IF(OR(N(C41)=0,N(F41)=0),"",(F41-C41)/ABS(C41))</f>
        <v/>
      </c>
      <c r="F41" s="70">
        <f>F2-F16-F30</f>
        <v/>
      </c>
      <c r="G41" s="71" t="n"/>
      <c r="H41" s="72">
        <f>IF(OR(N(F41)=0,N(I41)=0),"",(I41-F41)/ABS(F41))</f>
        <v/>
      </c>
      <c r="I41" s="70">
        <f>I2-I16-I30</f>
        <v/>
      </c>
      <c r="J41" s="71" t="n"/>
      <c r="K41" s="70">
        <f>SUM(C41,F41,I41)</f>
        <v/>
      </c>
    </row>
    <row r="42"/>
    <row r="43" ht="15" customHeight="1" s="33">
      <c r="B43" s="66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У каждого месяца своя колонка «Комментарий».</t>
        </is>
      </c>
    </row>
  </sheetData>
  <conditionalFormatting sqref="E2:E41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H2:H41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K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26" customWidth="1" style="32" min="4" max="4"/>
    <col width="9" customWidth="1" style="32" min="5" max="5"/>
    <col width="14" customWidth="1" style="32" min="6" max="6"/>
    <col width="26" customWidth="1" style="32" min="7" max="7"/>
    <col width="9" customWidth="1" style="32" min="8" max="8"/>
    <col width="14" customWidth="1" style="33" min="9" max="9"/>
    <col width="26" customWidth="1" style="33" min="10" max="10"/>
    <col width="16" customWidth="1" style="33" min="11" max="11"/>
  </cols>
  <sheetData>
    <row r="1" ht="30" customHeight="1" s="33">
      <c r="A1" s="34" t="inlineStr">
        <is>
          <t>№</t>
        </is>
      </c>
      <c r="B1" s="34" t="inlineStr">
        <is>
          <t>Статья</t>
        </is>
      </c>
      <c r="C1" s="34" t="n">
        <v>46296</v>
      </c>
      <c r="D1" s="67" t="inlineStr">
        <is>
          <t>Комментарий</t>
        </is>
      </c>
      <c r="E1" s="34" t="inlineStr">
        <is>
          <t>± %</t>
        </is>
      </c>
      <c r="F1" s="34" t="n">
        <v>46327</v>
      </c>
      <c r="G1" s="67" t="inlineStr">
        <is>
          <t>Комментарий</t>
        </is>
      </c>
      <c r="H1" s="34" t="inlineStr">
        <is>
          <t>± %</t>
        </is>
      </c>
      <c r="I1" s="34" t="n">
        <v>46357</v>
      </c>
      <c r="J1" s="67" t="inlineStr">
        <is>
          <t>Комментарий</t>
        </is>
      </c>
      <c r="K1" s="34" t="inlineStr">
        <is>
          <t>Итого за период</t>
        </is>
      </c>
    </row>
    <row r="2" ht="15" customHeight="1" s="33">
      <c r="A2" s="44" t="n"/>
      <c r="B2" s="45" t="inlineStr">
        <is>
          <t>Долг — итого за месяц</t>
        </is>
      </c>
      <c r="C2" s="46">
        <f>SUM(C3:C15)</f>
        <v/>
      </c>
      <c r="D2" s="47" t="n"/>
      <c r="E2" s="48">
        <f>IF(OR(N(C2)=0,N(F2)=0),"",(F2-C2)/ABS(C2))</f>
        <v/>
      </c>
      <c r="F2" s="46">
        <f>SUM(F3:F15)</f>
        <v/>
      </c>
      <c r="G2" s="47" t="n"/>
      <c r="H2" s="48">
        <f>IF(OR(N(F2)=0,N(I2)=0),"",(I2-F2)/ABS(F2))</f>
        <v/>
      </c>
      <c r="I2" s="46">
        <f>SUM(I3:I15)</f>
        <v/>
      </c>
      <c r="J2" s="47" t="n"/>
      <c r="K2" s="46">
        <f>SUM(C2,F2,I2)</f>
        <v/>
      </c>
    </row>
    <row r="3" ht="15" customHeight="1" s="33">
      <c r="A3" s="49" t="n">
        <v>1</v>
      </c>
      <c r="B3" s="50" t="inlineStr">
        <is>
          <t>Кафе/доставка</t>
        </is>
      </c>
      <c r="C3" s="52" t="n"/>
      <c r="D3" s="53" t="n"/>
      <c r="E3" s="54">
        <f>IF(OR(N(C3)=0,N(F3)=0),"",(F3-C3)/ABS(C3))</f>
        <v/>
      </c>
      <c r="F3" s="52" t="n"/>
      <c r="G3" s="53" t="n"/>
      <c r="H3" s="54">
        <f>IF(OR(N(F3)=0,N(I3)=0),"",(I3-F3)/ABS(F3))</f>
        <v/>
      </c>
      <c r="I3" s="52" t="n"/>
      <c r="J3" s="53" t="n"/>
      <c r="K3" s="56">
        <f>SUM(C3,F3,I3)</f>
        <v/>
      </c>
    </row>
    <row r="4" ht="15" customHeight="1" s="33">
      <c r="A4" s="49" t="n">
        <v>2</v>
      </c>
      <c r="B4" s="50" t="inlineStr">
        <is>
          <t>Барбершоп</t>
        </is>
      </c>
      <c r="C4" s="52" t="n"/>
      <c r="D4" s="53" t="n"/>
      <c r="E4" s="54">
        <f>IF(OR(N(C4)=0,N(F4)=0),"",(F4-C4)/ABS(C4))</f>
        <v/>
      </c>
      <c r="F4" s="52" t="n"/>
      <c r="G4" s="53" t="n"/>
      <c r="H4" s="54">
        <f>IF(OR(N(F4)=0,N(I4)=0),"",(I4-F4)/ABS(F4))</f>
        <v/>
      </c>
      <c r="I4" s="52" t="n"/>
      <c r="J4" s="53" t="n"/>
      <c r="K4" s="56">
        <f>SUM(C4,F4,I4)</f>
        <v/>
      </c>
    </row>
    <row r="5" ht="15" customHeight="1" s="33">
      <c r="A5" s="49" t="n">
        <v>3</v>
      </c>
      <c r="B5" s="50" t="inlineStr">
        <is>
          <t>Такси</t>
        </is>
      </c>
      <c r="C5" s="52" t="n"/>
      <c r="D5" s="53" t="n"/>
      <c r="E5" s="54">
        <f>IF(OR(N(C5)=0,N(F5)=0),"",(F5-C5)/ABS(C5))</f>
        <v/>
      </c>
      <c r="F5" s="52" t="n"/>
      <c r="G5" s="53" t="n"/>
      <c r="H5" s="54">
        <f>IF(OR(N(F5)=0,N(I5)=0),"",(I5-F5)/ABS(F5))</f>
        <v/>
      </c>
      <c r="I5" s="52" t="n"/>
      <c r="J5" s="53" t="n"/>
      <c r="K5" s="56">
        <f>SUM(C5,F5,I5)</f>
        <v/>
      </c>
    </row>
    <row r="6" ht="15" customHeight="1" s="33">
      <c r="A6" s="49" t="n">
        <v>4</v>
      </c>
      <c r="B6" s="50" t="inlineStr">
        <is>
          <t>Озон/уходовые</t>
        </is>
      </c>
      <c r="C6" s="52" t="n"/>
      <c r="D6" s="53" t="n"/>
      <c r="E6" s="54">
        <f>IF(OR(N(C6)=0,N(F6)=0),"",(F6-C6)/ABS(C6))</f>
        <v/>
      </c>
      <c r="F6" s="52" t="n"/>
      <c r="G6" s="53" t="n"/>
      <c r="H6" s="54">
        <f>IF(OR(N(F6)=0,N(I6)=0),"",(I6-F6)/ABS(F6))</f>
        <v/>
      </c>
      <c r="I6" s="52" t="n"/>
      <c r="J6" s="53" t="n"/>
      <c r="K6" s="56">
        <f>SUM(C6,F6,I6)</f>
        <v/>
      </c>
    </row>
    <row r="7" ht="15" customHeight="1" s="33">
      <c r="A7" s="49" t="n">
        <v>5</v>
      </c>
      <c r="B7" s="50" t="inlineStr">
        <is>
          <t>Спорт</t>
        </is>
      </c>
      <c r="C7" s="52" t="n"/>
      <c r="D7" s="53" t="n"/>
      <c r="E7" s="54">
        <f>IF(OR(N(C7)=0,N(F7)=0),"",(F7-C7)/ABS(C7))</f>
        <v/>
      </c>
      <c r="F7" s="52" t="n"/>
      <c r="G7" s="53" t="n"/>
      <c r="H7" s="54">
        <f>IF(OR(N(F7)=0,N(I7)=0),"",(I7-F7)/ABS(F7))</f>
        <v/>
      </c>
      <c r="I7" s="52" t="n"/>
      <c r="J7" s="53" t="n"/>
      <c r="K7" s="56">
        <f>SUM(C7,F7,I7)</f>
        <v/>
      </c>
    </row>
    <row r="8" ht="15" customHeight="1" s="33">
      <c r="A8" s="49" t="n">
        <v>6</v>
      </c>
      <c r="B8" s="50" t="inlineStr">
        <is>
          <t>Одежда</t>
        </is>
      </c>
      <c r="C8" s="52" t="n"/>
      <c r="D8" s="53" t="n"/>
      <c r="E8" s="54">
        <f>IF(OR(N(C8)=0,N(F8)=0),"",(F8-C8)/ABS(C8))</f>
        <v/>
      </c>
      <c r="F8" s="52" t="n"/>
      <c r="G8" s="53" t="n"/>
      <c r="H8" s="54">
        <f>IF(OR(N(F8)=0,N(I8)=0),"",(I8-F8)/ABS(F8))</f>
        <v/>
      </c>
      <c r="I8" s="52" t="n"/>
      <c r="J8" s="53" t="n"/>
      <c r="K8" s="56">
        <f>SUM(C8,F8,I8)</f>
        <v/>
      </c>
    </row>
    <row r="9" ht="15" customHeight="1" s="33">
      <c r="A9" s="49" t="n">
        <v>7</v>
      </c>
      <c r="B9" s="50" t="inlineStr">
        <is>
          <t>Баня</t>
        </is>
      </c>
      <c r="C9" s="52" t="n"/>
      <c r="D9" s="53" t="n"/>
      <c r="E9" s="54">
        <f>IF(OR(N(C9)=0,N(F9)=0),"",(F9-C9)/ABS(C9))</f>
        <v/>
      </c>
      <c r="F9" s="52" t="n"/>
      <c r="G9" s="53" t="n"/>
      <c r="H9" s="54">
        <f>IF(OR(N(F9)=0,N(I9)=0),"",(I9-F9)/ABS(F9))</f>
        <v/>
      </c>
      <c r="I9" s="52" t="n"/>
      <c r="J9" s="53" t="n"/>
      <c r="K9" s="56">
        <f>SUM(C9,F9,I9)</f>
        <v/>
      </c>
    </row>
    <row r="10" ht="15" customHeight="1" s="33">
      <c r="A10" s="49" t="n">
        <v>8</v>
      </c>
      <c r="B10" s="55" t="n"/>
      <c r="C10" s="52" t="n"/>
      <c r="D10" s="53" t="n"/>
      <c r="E10" s="54">
        <f>IF(OR(N(C10)=0,N(F10)=0),"",(F10-C10)/ABS(C10))</f>
        <v/>
      </c>
      <c r="F10" s="52" t="n"/>
      <c r="G10" s="53" t="n"/>
      <c r="H10" s="54">
        <f>IF(OR(N(F10)=0,N(I10)=0),"",(I10-F10)/ABS(F10))</f>
        <v/>
      </c>
      <c r="I10" s="52" t="n"/>
      <c r="J10" s="53" t="n"/>
      <c r="K10" s="56">
        <f>SUM(C10,F10,I10)</f>
        <v/>
      </c>
    </row>
    <row r="11" ht="15" customHeight="1" s="33">
      <c r="A11" s="49" t="n">
        <v>9</v>
      </c>
      <c r="B11" s="55" t="n"/>
      <c r="C11" s="52" t="n"/>
      <c r="D11" s="53" t="n"/>
      <c r="E11" s="54">
        <f>IF(OR(N(C11)=0,N(F11)=0),"",(F11-C11)/ABS(C11))</f>
        <v/>
      </c>
      <c r="F11" s="52" t="n"/>
      <c r="G11" s="53" t="n"/>
      <c r="H11" s="54">
        <f>IF(OR(N(F11)=0,N(I11)=0),"",(I11-F11)/ABS(F11))</f>
        <v/>
      </c>
      <c r="I11" s="52" t="n"/>
      <c r="J11" s="53" t="n"/>
      <c r="K11" s="56">
        <f>SUM(C11,F11,I11)</f>
        <v/>
      </c>
    </row>
    <row r="12" ht="15" customHeight="1" s="33">
      <c r="A12" s="49" t="n">
        <v>10</v>
      </c>
      <c r="B12" s="55" t="n"/>
      <c r="C12" s="52" t="n"/>
      <c r="D12" s="53" t="n"/>
      <c r="E12" s="54">
        <f>IF(OR(N(C12)=0,N(F12)=0),"",(F12-C12)/ABS(C12))</f>
        <v/>
      </c>
      <c r="F12" s="52" t="n"/>
      <c r="G12" s="53" t="n"/>
      <c r="H12" s="54">
        <f>IF(OR(N(F12)=0,N(I12)=0),"",(I12-F12)/ABS(F12))</f>
        <v/>
      </c>
      <c r="I12" s="52" t="n"/>
      <c r="J12" s="53" t="n"/>
      <c r="K12" s="56">
        <f>SUM(C12,F12,I12)</f>
        <v/>
      </c>
    </row>
    <row r="13" ht="15" customHeight="1" s="33">
      <c r="A13" s="49" t="n">
        <v>11</v>
      </c>
      <c r="B13" s="55" t="n"/>
      <c r="C13" s="52" t="n"/>
      <c r="D13" s="53" t="n"/>
      <c r="E13" s="54">
        <f>IF(OR(N(C13)=0,N(F13)=0),"",(F13-C13)/ABS(C13))</f>
        <v/>
      </c>
      <c r="F13" s="52" t="n"/>
      <c r="G13" s="53" t="n"/>
      <c r="H13" s="54">
        <f>IF(OR(N(F13)=0,N(I13)=0),"",(I13-F13)/ABS(F13))</f>
        <v/>
      </c>
      <c r="I13" s="52" t="n"/>
      <c r="J13" s="53" t="n"/>
      <c r="K13" s="56">
        <f>SUM(C13,F13,I13)</f>
        <v/>
      </c>
    </row>
    <row r="14" ht="15" customHeight="1" s="33">
      <c r="A14" s="49" t="n">
        <v>12</v>
      </c>
      <c r="B14" s="55" t="n"/>
      <c r="C14" s="52" t="n"/>
      <c r="D14" s="53" t="n"/>
      <c r="E14" s="54">
        <f>IF(OR(N(C14)=0,N(F14)=0),"",(F14-C14)/ABS(C14))</f>
        <v/>
      </c>
      <c r="F14" s="52" t="n"/>
      <c r="G14" s="53" t="n"/>
      <c r="H14" s="54">
        <f>IF(OR(N(F14)=0,N(I14)=0),"",(I14-F14)/ABS(F14))</f>
        <v/>
      </c>
      <c r="I14" s="52" t="n"/>
      <c r="J14" s="53" t="n"/>
      <c r="K14" s="56">
        <f>SUM(C14,F14,I14)</f>
        <v/>
      </c>
    </row>
    <row r="15" ht="15" customHeight="1" s="33">
      <c r="A15" s="49" t="n">
        <v>13</v>
      </c>
      <c r="B15" s="55" t="n"/>
      <c r="C15" s="52" t="n"/>
      <c r="D15" s="53" t="n"/>
      <c r="E15" s="54">
        <f>IF(OR(N(C15)=0,N(F15)=0),"",(F15-C15)/ABS(C15))</f>
        <v/>
      </c>
      <c r="F15" s="52" t="n"/>
      <c r="G15" s="53" t="n"/>
      <c r="H15" s="54">
        <f>IF(OR(N(F15)=0,N(I15)=0),"",(I15-F15)/ABS(F15))</f>
        <v/>
      </c>
      <c r="I15" s="52" t="n"/>
      <c r="J15" s="53" t="n"/>
      <c r="K15" s="56">
        <f>SUM(C15,F15,I15)</f>
        <v/>
      </c>
    </row>
    <row r="16" ht="15" customHeight="1" s="33">
      <c r="A16" s="49" t="n"/>
      <c r="B16" s="73" t="inlineStr">
        <is>
          <t>Дали</t>
        </is>
      </c>
      <c r="C16" s="52" t="n"/>
      <c r="D16" s="74" t="n"/>
      <c r="E16" s="54">
        <f>IF(OR(N(C16)=0,N(F16)=0),"",(F16-C16)/ABS(C16))</f>
        <v/>
      </c>
      <c r="F16" s="52" t="n"/>
      <c r="G16" s="74" t="n"/>
      <c r="H16" s="54">
        <f>IF(OR(N(F16)=0,N(I16)=0),"",(I16-F16)/ABS(F16))</f>
        <v/>
      </c>
      <c r="I16" s="52" t="n"/>
      <c r="J16" s="74" t="n"/>
      <c r="K16" s="56">
        <f>SUM(C16,F16,I16)</f>
        <v/>
      </c>
    </row>
    <row r="17" ht="15" customHeight="1" s="33">
      <c r="A17" s="39" t="n"/>
      <c r="B17" s="40" t="inlineStr">
        <is>
          <t>Итого (Долг − Дали)</t>
        </is>
      </c>
      <c r="C17" s="41">
        <f>C2-C16</f>
        <v/>
      </c>
      <c r="D17" s="42" t="n"/>
      <c r="E17" s="43">
        <f>IF(OR(N(C17)=0,N(F17)=0),"",(F17-C17)/ABS(C17))</f>
        <v/>
      </c>
      <c r="F17" s="41">
        <f>F2-F16</f>
        <v/>
      </c>
      <c r="G17" s="42" t="n"/>
      <c r="H17" s="43">
        <f>IF(OR(N(F17)=0,N(I17)=0),"",(I17-F17)/ABS(F17))</f>
        <v/>
      </c>
      <c r="I17" s="41">
        <f>I2-I16</f>
        <v/>
      </c>
      <c r="J17" s="42" t="n"/>
      <c r="K17" s="41">
        <f>SUM(C17,F17,I17)</f>
        <v/>
      </c>
    </row>
    <row r="18"/>
    <row r="19" ht="15" customHeight="1" s="33">
      <c r="B19" s="66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У каждого месяца своя колонка «Комментарий».</t>
        </is>
      </c>
    </row>
  </sheetData>
  <conditionalFormatting sqref="E2:E1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H2:H1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D7D31"/>
    <outlinePr summaryBelow="1" summaryRight="1"/>
    <pageSetUpPr fitToPage="1"/>
  </sheetPr>
  <dimension ref="A1:K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26" customWidth="1" style="32" min="4" max="4"/>
    <col width="9" customWidth="1" style="32" min="5" max="5"/>
    <col width="14" customWidth="1" style="32" min="6" max="6"/>
    <col width="26" customWidth="1" style="32" min="7" max="7"/>
    <col width="9" customWidth="1" style="32" min="8" max="8"/>
    <col width="14" customWidth="1" style="33" min="9" max="9"/>
    <col width="26" customWidth="1" style="33" min="10" max="10"/>
    <col width="26" customWidth="1" style="33" min="11" max="11"/>
  </cols>
  <sheetData>
    <row r="1" ht="30" customHeight="1" s="33">
      <c r="A1" s="34" t="inlineStr">
        <is>
          <t>№</t>
        </is>
      </c>
      <c r="B1" s="34" t="inlineStr">
        <is>
          <t>Вещь на продажу</t>
        </is>
      </c>
      <c r="C1" s="34" t="n">
        <v>46296</v>
      </c>
      <c r="D1" s="67" t="inlineStr">
        <is>
          <t>Комментарий</t>
        </is>
      </c>
      <c r="E1" s="34" t="inlineStr">
        <is>
          <t>± %</t>
        </is>
      </c>
      <c r="F1" s="34" t="n">
        <v>46327</v>
      </c>
      <c r="G1" s="67" t="inlineStr">
        <is>
          <t>Комментарий</t>
        </is>
      </c>
      <c r="H1" s="34" t="inlineStr">
        <is>
          <t>± %</t>
        </is>
      </c>
      <c r="I1" s="34" t="n">
        <v>46357</v>
      </c>
      <c r="J1" s="67" t="inlineStr">
        <is>
          <t>Комментарий</t>
        </is>
      </c>
      <c r="K1" s="34" t="inlineStr">
        <is>
          <t>Общий комментарий</t>
        </is>
      </c>
    </row>
    <row r="2" ht="15" customHeight="1" s="33">
      <c r="A2" s="39" t="n"/>
      <c r="B2" s="40" t="inlineStr">
        <is>
          <t>ИТОГО к продаже</t>
        </is>
      </c>
      <c r="C2" s="41">
        <f>SUM(C3:C17)</f>
        <v/>
      </c>
      <c r="D2" s="42" t="n"/>
      <c r="E2" s="43">
        <f>IF(OR(N(C2)=0,N(F2)=0),"",(F2-C2)/ABS(C2))</f>
        <v/>
      </c>
      <c r="F2" s="41">
        <f>SUM(F3:F17)</f>
        <v/>
      </c>
      <c r="G2" s="42" t="n"/>
      <c r="H2" s="43">
        <f>IF(OR(N(F2)=0,N(I2)=0),"",(I2-F2)/ABS(F2))</f>
        <v/>
      </c>
      <c r="I2" s="41">
        <f>SUM(I3:I17)</f>
        <v/>
      </c>
      <c r="J2" s="42" t="n"/>
      <c r="K2" s="41" t="n"/>
    </row>
    <row r="3" ht="15" customHeight="1" s="33">
      <c r="A3" s="49" t="n">
        <v>1</v>
      </c>
      <c r="B3" s="50" t="inlineStr">
        <is>
          <t>Прочее c 3д принт 14к</t>
        </is>
      </c>
      <c r="C3" s="52" t="n"/>
      <c r="D3" s="53" t="n"/>
      <c r="E3" s="54">
        <f>IF(OR(N(C3)=0,N(F3)=0),"",(F3-C3)/ABS(C3))</f>
        <v/>
      </c>
      <c r="F3" s="52" t="n"/>
      <c r="G3" s="53" t="n"/>
      <c r="H3" s="54">
        <f>IF(OR(N(F3)=0,N(I3)=0),"",(I3-F3)/ABS(F3))</f>
        <v/>
      </c>
      <c r="I3" s="52" t="n"/>
      <c r="J3" s="53" t="n"/>
      <c r="K3" s="55" t="n"/>
    </row>
    <row r="4" ht="15" customHeight="1" s="33">
      <c r="A4" s="49" t="n">
        <v>2</v>
      </c>
      <c r="B4" s="50" t="inlineStr">
        <is>
          <t>Айфон 11 (надо его восстановить)</t>
        </is>
      </c>
      <c r="C4" s="52" t="n"/>
      <c r="D4" s="53" t="n"/>
      <c r="E4" s="54">
        <f>IF(OR(N(C4)=0,N(F4)=0),"",(F4-C4)/ABS(C4))</f>
        <v/>
      </c>
      <c r="F4" s="52" t="n"/>
      <c r="G4" s="53" t="n"/>
      <c r="H4" s="54">
        <f>IF(OR(N(F4)=0,N(I4)=0),"",(I4-F4)/ABS(F4))</f>
        <v/>
      </c>
      <c r="I4" s="52" t="n"/>
      <c r="J4" s="53" t="n"/>
      <c r="K4" s="55" t="n"/>
    </row>
    <row r="5" ht="15" customHeight="1" s="33">
      <c r="A5" s="49" t="n">
        <v>3</v>
      </c>
      <c r="B5" s="50" t="inlineStr">
        <is>
          <t>Маркер пейнтбола</t>
        </is>
      </c>
      <c r="C5" s="52" t="n"/>
      <c r="D5" s="53" t="n"/>
      <c r="E5" s="54">
        <f>IF(OR(N(C5)=0,N(F5)=0),"",(F5-C5)/ABS(C5))</f>
        <v/>
      </c>
      <c r="F5" s="52" t="n"/>
      <c r="G5" s="53" t="n"/>
      <c r="H5" s="54">
        <f>IF(OR(N(F5)=0,N(I5)=0),"",(I5-F5)/ABS(F5))</f>
        <v/>
      </c>
      <c r="I5" s="52" t="n"/>
      <c r="J5" s="53" t="n"/>
      <c r="K5" s="55" t="n"/>
    </row>
    <row r="6" ht="15" customHeight="1" s="33">
      <c r="A6" s="49" t="n">
        <v>4</v>
      </c>
      <c r="B6" s="50" t="inlineStr">
        <is>
          <t>Ноут и клава</t>
        </is>
      </c>
      <c r="C6" s="52" t="n"/>
      <c r="D6" s="53" t="n"/>
      <c r="E6" s="54">
        <f>IF(OR(N(C6)=0,N(F6)=0),"",(F6-C6)/ABS(C6))</f>
        <v/>
      </c>
      <c r="F6" s="52" t="n"/>
      <c r="G6" s="53" t="n"/>
      <c r="H6" s="54">
        <f>IF(OR(N(F6)=0,N(I6)=0),"",(I6-F6)/ABS(F6))</f>
        <v/>
      </c>
      <c r="I6" s="52" t="n"/>
      <c r="J6" s="53" t="n"/>
      <c r="K6" s="55" t="n"/>
    </row>
    <row r="7" ht="15" customHeight="1" s="33">
      <c r="A7" s="49" t="n">
        <v>5</v>
      </c>
      <c r="B7" s="50" t="inlineStr">
        <is>
          <t>Хоккей</t>
        </is>
      </c>
      <c r="C7" s="52" t="n"/>
      <c r="D7" s="53" t="n"/>
      <c r="E7" s="54">
        <f>IF(OR(N(C7)=0,N(F7)=0),"",(F7-C7)/ABS(C7))</f>
        <v/>
      </c>
      <c r="F7" s="52" t="n"/>
      <c r="G7" s="53" t="n"/>
      <c r="H7" s="54">
        <f>IF(OR(N(F7)=0,N(I7)=0),"",(I7-F7)/ABS(F7))</f>
        <v/>
      </c>
      <c r="I7" s="52" t="n"/>
      <c r="J7" s="53" t="n"/>
      <c r="K7" s="55" t="n"/>
    </row>
    <row r="8" ht="15" customHeight="1" s="33">
      <c r="A8" s="49" t="n">
        <v>6</v>
      </c>
      <c r="B8" s="50" t="inlineStr">
        <is>
          <t>Moncler кеды</t>
        </is>
      </c>
      <c r="C8" s="52" t="n"/>
      <c r="D8" s="53" t="n"/>
      <c r="E8" s="54">
        <f>IF(OR(N(C8)=0,N(F8)=0),"",(F8-C8)/ABS(C8))</f>
        <v/>
      </c>
      <c r="F8" s="52" t="n"/>
      <c r="G8" s="53" t="n"/>
      <c r="H8" s="54">
        <f>IF(OR(N(F8)=0,N(I8)=0),"",(I8-F8)/ABS(F8))</f>
        <v/>
      </c>
      <c r="I8" s="52" t="n"/>
      <c r="J8" s="53" t="n"/>
      <c r="K8" s="55" t="n"/>
    </row>
    <row r="9" ht="15" customHeight="1" s="33">
      <c r="A9" s="49" t="n">
        <v>7</v>
      </c>
      <c r="B9" s="50" t="inlineStr">
        <is>
          <t>Клюшка</t>
        </is>
      </c>
      <c r="C9" s="52" t="n"/>
      <c r="D9" s="53" t="n"/>
      <c r="E9" s="54">
        <f>IF(OR(N(C9)=0,N(F9)=0),"",(F9-C9)/ABS(C9))</f>
        <v/>
      </c>
      <c r="F9" s="52" t="n"/>
      <c r="G9" s="53" t="n"/>
      <c r="H9" s="54">
        <f>IF(OR(N(F9)=0,N(I9)=0),"",(I9-F9)/ABS(F9))</f>
        <v/>
      </c>
      <c r="I9" s="52" t="n"/>
      <c r="J9" s="53" t="n"/>
      <c r="K9" s="55" t="n"/>
    </row>
    <row r="10" ht="15" customHeight="1" s="33">
      <c r="A10" s="49" t="n">
        <v>8</v>
      </c>
      <c r="B10" s="55" t="n"/>
      <c r="C10" s="52" t="n"/>
      <c r="D10" s="53" t="n"/>
      <c r="E10" s="54">
        <f>IF(OR(N(C10)=0,N(F10)=0),"",(F10-C10)/ABS(C10))</f>
        <v/>
      </c>
      <c r="F10" s="52" t="n"/>
      <c r="G10" s="53" t="n"/>
      <c r="H10" s="54">
        <f>IF(OR(N(F10)=0,N(I10)=0),"",(I10-F10)/ABS(F10))</f>
        <v/>
      </c>
      <c r="I10" s="52" t="n"/>
      <c r="J10" s="53" t="n"/>
      <c r="K10" s="55" t="n"/>
    </row>
    <row r="11" ht="15" customHeight="1" s="33">
      <c r="A11" s="49" t="n">
        <v>9</v>
      </c>
      <c r="B11" s="55" t="n"/>
      <c r="C11" s="52" t="n"/>
      <c r="D11" s="53" t="n"/>
      <c r="E11" s="54">
        <f>IF(OR(N(C11)=0,N(F11)=0),"",(F11-C11)/ABS(C11))</f>
        <v/>
      </c>
      <c r="F11" s="52" t="n"/>
      <c r="G11" s="53" t="n"/>
      <c r="H11" s="54">
        <f>IF(OR(N(F11)=0,N(I11)=0),"",(I11-F11)/ABS(F11))</f>
        <v/>
      </c>
      <c r="I11" s="52" t="n"/>
      <c r="J11" s="53" t="n"/>
      <c r="K11" s="55" t="n"/>
    </row>
    <row r="12" ht="15" customHeight="1" s="33">
      <c r="A12" s="49" t="n">
        <v>10</v>
      </c>
      <c r="B12" s="55" t="n"/>
      <c r="C12" s="52" t="n"/>
      <c r="D12" s="53" t="n"/>
      <c r="E12" s="54">
        <f>IF(OR(N(C12)=0,N(F12)=0),"",(F12-C12)/ABS(C12))</f>
        <v/>
      </c>
      <c r="F12" s="52" t="n"/>
      <c r="G12" s="53" t="n"/>
      <c r="H12" s="54">
        <f>IF(OR(N(F12)=0,N(I12)=0),"",(I12-F12)/ABS(F12))</f>
        <v/>
      </c>
      <c r="I12" s="52" t="n"/>
      <c r="J12" s="53" t="n"/>
      <c r="K12" s="55" t="n"/>
    </row>
    <row r="13" ht="15" customHeight="1" s="33">
      <c r="A13" s="49" t="n">
        <v>11</v>
      </c>
      <c r="B13" s="55" t="n"/>
      <c r="C13" s="52" t="n"/>
      <c r="D13" s="53" t="n"/>
      <c r="E13" s="54">
        <f>IF(OR(N(C13)=0,N(F13)=0),"",(F13-C13)/ABS(C13))</f>
        <v/>
      </c>
      <c r="F13" s="52" t="n"/>
      <c r="G13" s="53" t="n"/>
      <c r="H13" s="54">
        <f>IF(OR(N(F13)=0,N(I13)=0),"",(I13-F13)/ABS(F13))</f>
        <v/>
      </c>
      <c r="I13" s="52" t="n"/>
      <c r="J13" s="53" t="n"/>
      <c r="K13" s="55" t="n"/>
    </row>
    <row r="14" ht="15" customHeight="1" s="33">
      <c r="A14" s="49" t="n">
        <v>12</v>
      </c>
      <c r="B14" s="55" t="n"/>
      <c r="C14" s="52" t="n"/>
      <c r="D14" s="53" t="n"/>
      <c r="E14" s="54">
        <f>IF(OR(N(C14)=0,N(F14)=0),"",(F14-C14)/ABS(C14))</f>
        <v/>
      </c>
      <c r="F14" s="52" t="n"/>
      <c r="G14" s="53" t="n"/>
      <c r="H14" s="54">
        <f>IF(OR(N(F14)=0,N(I14)=0),"",(I14-F14)/ABS(F14))</f>
        <v/>
      </c>
      <c r="I14" s="52" t="n"/>
      <c r="J14" s="53" t="n"/>
      <c r="K14" s="55" t="n"/>
    </row>
    <row r="15" ht="15" customHeight="1" s="33">
      <c r="A15" s="49" t="n">
        <v>13</v>
      </c>
      <c r="B15" s="55" t="n"/>
      <c r="C15" s="52" t="n"/>
      <c r="D15" s="53" t="n"/>
      <c r="E15" s="54">
        <f>IF(OR(N(C15)=0,N(F15)=0),"",(F15-C15)/ABS(C15))</f>
        <v/>
      </c>
      <c r="F15" s="52" t="n"/>
      <c r="G15" s="53" t="n"/>
      <c r="H15" s="54">
        <f>IF(OR(N(F15)=0,N(I15)=0),"",(I15-F15)/ABS(F15))</f>
        <v/>
      </c>
      <c r="I15" s="52" t="n"/>
      <c r="J15" s="53" t="n"/>
      <c r="K15" s="55" t="n"/>
    </row>
    <row r="16" ht="15" customHeight="1" s="33">
      <c r="A16" s="49" t="n">
        <v>14</v>
      </c>
      <c r="B16" s="55" t="n"/>
      <c r="C16" s="52" t="n"/>
      <c r="D16" s="53" t="n"/>
      <c r="E16" s="54">
        <f>IF(OR(N(C16)=0,N(F16)=0),"",(F16-C16)/ABS(C16))</f>
        <v/>
      </c>
      <c r="F16" s="52" t="n"/>
      <c r="G16" s="53" t="n"/>
      <c r="H16" s="54">
        <f>IF(OR(N(F16)=0,N(I16)=0),"",(I16-F16)/ABS(F16))</f>
        <v/>
      </c>
      <c r="I16" s="52" t="n"/>
      <c r="J16" s="53" t="n"/>
      <c r="K16" s="55" t="n"/>
    </row>
    <row r="17" ht="15" customHeight="1" s="33">
      <c r="A17" s="49" t="n">
        <v>15</v>
      </c>
      <c r="B17" s="55" t="n"/>
      <c r="C17" s="52" t="n"/>
      <c r="D17" s="53" t="n"/>
      <c r="E17" s="54">
        <f>IF(OR(N(C17)=0,N(F17)=0),"",(F17-C17)/ABS(C17))</f>
        <v/>
      </c>
      <c r="F17" s="52" t="n"/>
      <c r="G17" s="53" t="n"/>
      <c r="H17" s="54">
        <f>IF(OR(N(F17)=0,N(I17)=0),"",(I17-F17)/ABS(F17))</f>
        <v/>
      </c>
      <c r="I17" s="52" t="n"/>
      <c r="J17" s="53" t="n"/>
      <c r="K17" s="55" t="n"/>
    </row>
    <row r="18"/>
    <row r="19" ht="15" customHeight="1" s="33">
      <c r="B19" s="66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Итог по каждой дате попадает в «КАПИТАЛ» → «Продать на Авито». У каждого месяца своя колонка «Комментарий».</t>
        </is>
      </c>
    </row>
  </sheetData>
  <conditionalFormatting sqref="E2:E1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H2:H1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2026-10-02T11:26:02Z</dcterms:created>
  <dcterms:modified xsi:type="dcterms:W3CDTF">2026-10-05T13:03:13Z</dcterms:modified>
  <cp:revision>0</cp:revision>
</cp:coreProperties>
</file>